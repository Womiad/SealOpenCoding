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A_受試者" sheetId="2" state="visible" r:id="rId4"/>
    <sheet name="A_任務記錄" sheetId="3" state="visible" r:id="rId5"/>
    <sheet name="A_觀察事件" sheetId="4" state="visible" r:id="rId6"/>
    <sheet name="A_SUS" sheetId="5" state="visible" r:id="rId7"/>
    <sheet name="A_量表" sheetId="6" state="visible" r:id="rId8"/>
    <sheet name="PartC_稽核" sheetId="7" state="visible" r:id="rId9"/>
    <sheet name="B_執行記錄" sheetId="8" state="visible" r:id="rId10"/>
    <sheet name="B_埋點對照表" sheetId="9" state="visible" r:id="rId11"/>
    <sheet name="B_埋點評分" sheetId="10" state="visible" r:id="rId12"/>
    <sheet name="B_人工評分" sheetId="11" state="visible" r:id="rId13"/>
    <sheet name="B_研究方向評分" sheetId="12" state="visible" r:id="rId14"/>
    <sheet name="B_盲評代碼" sheetId="13" state="visible" r:id="rId15"/>
    <sheet name="STT_去識別化檢核" sheetId="14" state="visible" r:id="rId16"/>
    <sheet name="STT_轉錄品質" sheetId="15" state="visible" r:id="rId17"/>
    <sheet name="彙總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<sst xmlns="http://schemas.openxmlformats.org/spreadsheetml/2006/main" count="593" uniqueCount="459">
  <si>
    <r>
      <rPr>
        <b val="true"/>
        <sz val="13"/>
        <color rgb="FF1F4E79"/>
        <rFont val="Arial"/>
        <family val="0"/>
        <charset val="1"/>
      </rPr>
      <t xml:space="preserve">Seal </t>
    </r>
    <r>
      <rPr>
        <b val="true"/>
        <sz val="13"/>
        <color rgb="FF1F4E79"/>
        <rFont val="Noto Sans CJK SC"/>
        <family val="2"/>
      </rPr>
      <t xml:space="preserve">評估記錄表</t>
    </r>
  </si>
  <si>
    <r>
      <rPr>
        <i val="true"/>
        <sz val="9"/>
        <color rgb="FF595959"/>
        <rFont val="Noto Sans CJK SC"/>
        <family val="2"/>
      </rPr>
      <t xml:space="preserve">版本 </t>
    </r>
    <r>
      <rPr>
        <i val="true"/>
        <sz val="9"/>
        <color rgb="FF595959"/>
        <rFont val="Arial"/>
        <family val="0"/>
        <charset val="1"/>
      </rPr>
      <t xml:space="preserve">v1.0</t>
    </r>
    <r>
      <rPr>
        <i val="true"/>
        <sz val="9"/>
        <color rgb="FF595959"/>
        <rFont val="Noto Sans CJK SC"/>
        <family val="2"/>
      </rPr>
      <t xml:space="preserve">｜</t>
    </r>
    <r>
      <rPr>
        <i val="true"/>
        <sz val="9"/>
        <color rgb="FF595959"/>
        <rFont val="Arial"/>
        <family val="0"/>
        <charset val="1"/>
      </rPr>
      <t xml:space="preserve">2026-08-26</t>
    </r>
    <r>
      <rPr>
        <i val="true"/>
        <sz val="9"/>
        <color rgb="FF595959"/>
        <rFont val="Noto Sans CJK SC"/>
        <family val="2"/>
      </rPr>
      <t xml:space="preserve">｜配合《</t>
    </r>
    <r>
      <rPr>
        <i val="true"/>
        <sz val="9"/>
        <color rgb="FF595959"/>
        <rFont val="Arial"/>
        <family val="0"/>
        <charset val="1"/>
      </rPr>
      <t xml:space="preserve">Seal </t>
    </r>
    <r>
      <rPr>
        <i val="true"/>
        <sz val="9"/>
        <color rgb="FF595959"/>
        <rFont val="Noto Sans CJK SC"/>
        <family val="2"/>
      </rPr>
      <t xml:space="preserve">評估計畫書》與《</t>
    </r>
    <r>
      <rPr>
        <i val="true"/>
        <sz val="9"/>
        <color rgb="FF595959"/>
        <rFont val="Arial"/>
        <family val="0"/>
        <charset val="1"/>
      </rPr>
      <t xml:space="preserve">Seal </t>
    </r>
    <r>
      <rPr>
        <i val="true"/>
        <sz val="9"/>
        <color rgb="FF595959"/>
        <rFont val="Noto Sans CJK SC"/>
        <family val="2"/>
      </rPr>
      <t xml:space="preserve">易用性測試執行手冊》使用</t>
    </r>
  </si>
  <si>
    <t xml:space="preserve">怎麼用</t>
  </si>
  <si>
    <t xml:space="preserve">黃底藍字</t>
  </si>
  <si>
    <t xml:space="preserve">要填的欄位。灰底的「範例」列示範格式，正式使用前請整列刪除（彙總會把範例算進去）。</t>
  </si>
  <si>
    <t xml:space="preserve">黑字</t>
  </si>
  <si>
    <t xml:space="preserve">公式，不要覆蓋。彙總分頁的公式參考各分頁的整欄範圍，新增列不必改公式。</t>
  </si>
  <si>
    <t xml:space="preserve">分頁</t>
  </si>
  <si>
    <r>
      <rPr>
        <sz val="10"/>
        <rFont val="Arial"/>
        <family val="0"/>
        <charset val="1"/>
      </rPr>
      <t xml:space="preserve">A_</t>
    </r>
    <r>
      <rPr>
        <sz val="10"/>
        <rFont val="Noto Sans CJK SC"/>
        <family val="2"/>
      </rPr>
      <t xml:space="preserve">受試者</t>
    </r>
  </si>
  <si>
    <r>
      <rPr>
        <sz val="10"/>
        <rFont val="Arial"/>
        <family val="0"/>
        <charset val="1"/>
      </rPr>
      <t xml:space="preserve">Part A </t>
    </r>
    <r>
      <rPr>
        <sz val="10"/>
        <rFont val="Noto Sans CJK SC"/>
        <family val="2"/>
      </rPr>
      <t xml:space="preserve">受試者名單、分層、</t>
    </r>
    <r>
      <rPr>
        <sz val="10"/>
        <rFont val="Arial"/>
        <family val="0"/>
        <charset val="1"/>
      </rPr>
      <t xml:space="preserve">Part C </t>
    </r>
    <r>
      <rPr>
        <sz val="10"/>
        <rFont val="Noto Sans CJK SC"/>
        <family val="2"/>
      </rPr>
      <t xml:space="preserve">版面順序。</t>
    </r>
  </si>
  <si>
    <r>
      <rPr>
        <sz val="10"/>
        <rFont val="Arial"/>
        <family val="0"/>
        <charset val="1"/>
      </rPr>
      <t xml:space="preserve">A_</t>
    </r>
    <r>
      <rPr>
        <sz val="10"/>
        <rFont val="Noto Sans CJK SC"/>
        <family val="2"/>
      </rPr>
      <t xml:space="preserve">任務記錄</t>
    </r>
  </si>
  <si>
    <r>
      <rPr>
        <sz val="10"/>
        <rFont val="Noto Sans CJK SC"/>
        <family val="2"/>
      </rPr>
      <t xml:space="preserve">每位受試者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每個任務：時間、成功、錯誤、提示、任務後三題。</t>
    </r>
  </si>
  <si>
    <r>
      <rPr>
        <sz val="10"/>
        <rFont val="Arial"/>
        <family val="0"/>
        <charset val="1"/>
      </rPr>
      <t xml:space="preserve">A_</t>
    </r>
    <r>
      <rPr>
        <sz val="10"/>
        <rFont val="Noto Sans CJK SC"/>
        <family val="2"/>
      </rPr>
      <t xml:space="preserve">觀察事件</t>
    </r>
  </si>
  <si>
    <r>
      <rPr>
        <sz val="10"/>
        <rFont val="Noto Sans CJK SC"/>
        <family val="2"/>
      </rPr>
      <t xml:space="preserve">觀察員的事件流水帳，含嚴重度 </t>
    </r>
    <r>
      <rPr>
        <sz val="10"/>
        <rFont val="Arial"/>
        <family val="0"/>
        <charset val="1"/>
      </rPr>
      <t xml:space="preserve">0–4</t>
    </r>
    <r>
      <rPr>
        <sz val="10"/>
        <rFont val="Noto Sans CJK SC"/>
        <family val="2"/>
      </rPr>
      <t xml:space="preserve">。</t>
    </r>
  </si>
  <si>
    <t xml:space="preserve">A_SUS</t>
  </si>
  <si>
    <r>
      <rPr>
        <sz val="10"/>
        <rFont val="Arial"/>
        <family val="0"/>
        <charset val="1"/>
      </rPr>
      <t xml:space="preserve">SUS </t>
    </r>
    <r>
      <rPr>
        <sz val="10"/>
        <rFont val="Noto Sans CJK SC"/>
        <family val="2"/>
      </rPr>
      <t xml:space="preserve">十題原始圈選值；分數自動計算；底部有平均與 </t>
    </r>
    <r>
      <rPr>
        <sz val="10"/>
        <rFont val="Arial"/>
        <family val="0"/>
        <charset val="1"/>
      </rPr>
      <t xml:space="preserve">95% CI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</si>
  <si>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A_</t>
    </r>
    <r>
      <rPr>
        <sz val="10"/>
        <rFont val="Noto Sans CJK SC"/>
        <family val="2"/>
      </rPr>
      <t xml:space="preserve">量表</t>
    </r>
  </si>
  <si>
    <r>
      <rPr>
        <sz val="10"/>
        <rFont val="Noto Sans CJK SC"/>
        <family val="2"/>
      </rPr>
      <t xml:space="preserve">信任與驗證意願量表 </t>
    </r>
    <r>
      <rPr>
        <sz val="10"/>
        <rFont val="Arial"/>
        <family val="0"/>
        <charset val="1"/>
      </rPr>
      <t xml:space="preserve">V1–V6 </t>
    </r>
    <r>
      <rPr>
        <sz val="10"/>
        <rFont val="Noto Sans CJK SC"/>
        <family val="2"/>
      </rPr>
      <t xml:space="preserve">與每工具三題。</t>
    </r>
  </si>
  <si>
    <r>
      <rPr>
        <sz val="10"/>
        <rFont val="Arial"/>
        <family val="0"/>
        <charset val="1"/>
      </rPr>
      <t xml:space="preserve">PartC_</t>
    </r>
    <r>
      <rPr>
        <sz val="10"/>
        <rFont val="Noto Sans CJK SC"/>
        <family val="2"/>
      </rPr>
      <t xml:space="preserve">稽核</t>
    </r>
  </si>
  <si>
    <r>
      <rPr>
        <sz val="10"/>
        <rFont val="Arial"/>
        <family val="0"/>
        <charset val="1"/>
      </rPr>
      <t xml:space="preserve">T6 </t>
    </r>
    <r>
      <rPr>
        <sz val="10"/>
        <rFont val="Noto Sans CJK SC"/>
        <family val="2"/>
      </rPr>
      <t xml:space="preserve">稽核任務：每筆 </t>
    </r>
    <r>
      <rPr>
        <sz val="10"/>
        <rFont val="Arial"/>
        <family val="0"/>
        <charset val="1"/>
      </rPr>
      <t xml:space="preserve">code </t>
    </r>
    <r>
      <rPr>
        <sz val="10"/>
        <rFont val="Noto Sans CJK SC"/>
        <family val="2"/>
      </rPr>
      <t xml:space="preserve">的判定、信心、時間；自動算偵測與誤拒。</t>
    </r>
  </si>
  <si>
    <r>
      <rPr>
        <sz val="10"/>
        <rFont val="Arial"/>
        <family val="0"/>
        <charset val="1"/>
      </rPr>
      <t xml:space="preserve">B_</t>
    </r>
    <r>
      <rPr>
        <sz val="10"/>
        <rFont val="Noto Sans CJK SC"/>
        <family val="2"/>
      </rPr>
      <t xml:space="preserve">執行記錄</t>
    </r>
  </si>
  <si>
    <r>
      <rPr>
        <sz val="10"/>
        <rFont val="Arial"/>
        <family val="0"/>
        <charset val="1"/>
      </rPr>
      <t xml:space="preserve">Part B </t>
    </r>
    <r>
      <rPr>
        <sz val="10"/>
        <rFont val="Noto Sans CJK SC"/>
        <family val="2"/>
      </rPr>
      <t xml:space="preserve">每次執行的參數與系統自報計數（可由 </t>
    </r>
    <r>
      <rPr>
        <sz val="10"/>
        <rFont val="Arial"/>
        <family val="0"/>
        <charset val="1"/>
      </rPr>
      <t xml:space="preserve">seal_eval_collect.py </t>
    </r>
    <r>
      <rPr>
        <sz val="10"/>
        <rFont val="Noto Sans CJK SC"/>
        <family val="2"/>
      </rPr>
      <t xml:space="preserve">匯出後貼上）。</t>
    </r>
  </si>
  <si>
    <r>
      <rPr>
        <sz val="10"/>
        <rFont val="Arial"/>
        <family val="0"/>
        <charset val="1"/>
      </rPr>
      <t xml:space="preserve">B_</t>
    </r>
    <r>
      <rPr>
        <sz val="10"/>
        <rFont val="Noto Sans CJK SC"/>
        <family val="2"/>
      </rPr>
      <t xml:space="preserve">埋點對照表</t>
    </r>
  </si>
  <si>
    <r>
      <rPr>
        <sz val="10"/>
        <rFont val="Arial"/>
        <family val="0"/>
        <charset val="1"/>
      </rPr>
      <t xml:space="preserve">P01–P03 </t>
    </r>
    <r>
      <rPr>
        <sz val="10"/>
        <rFont val="Noto Sans CJK SC"/>
        <family val="2"/>
      </rPr>
      <t xml:space="preserve">的埋點（已填）與新逐字稿的埋點；關鍵句必須逐字與逐字稿一致。</t>
    </r>
  </si>
  <si>
    <r>
      <rPr>
        <sz val="10"/>
        <rFont val="Arial"/>
        <family val="0"/>
        <charset val="1"/>
      </rPr>
      <t xml:space="preserve">B_</t>
    </r>
    <r>
      <rPr>
        <sz val="10"/>
        <rFont val="Noto Sans CJK SC"/>
        <family val="2"/>
      </rPr>
      <t xml:space="preserve">埋點評分</t>
    </r>
  </si>
  <si>
    <r>
      <rPr>
        <sz val="10"/>
        <rFont val="Noto Sans CJK SC"/>
        <family val="2"/>
      </rPr>
      <t xml:space="preserve">長格式：埋點</t>
    </r>
    <r>
      <rPr>
        <sz val="10"/>
        <rFont val="Arial"/>
        <family val="0"/>
        <charset val="1"/>
      </rPr>
      <t xml:space="preserve">ID × </t>
    </r>
    <r>
      <rPr>
        <sz val="10"/>
        <rFont val="Noto Sans CJK SC"/>
        <family val="2"/>
      </rPr>
      <t xml:space="preserve">條件 </t>
    </r>
    <r>
      <rPr>
        <sz val="10"/>
        <rFont val="Arial"/>
        <family val="0"/>
        <charset val="1"/>
      </rPr>
      <t xml:space="preserve">× run </t>
    </r>
    <r>
      <rPr>
        <sz val="10"/>
        <rFont val="Noto Sans CJK SC"/>
        <family val="2"/>
      </rPr>
      <t xml:space="preserve">的得分（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）。彙總用 </t>
    </r>
    <r>
      <rPr>
        <sz val="10"/>
        <rFont val="Arial"/>
        <family val="0"/>
        <charset val="1"/>
      </rPr>
      <t xml:space="preserve">AVERAGEIFS </t>
    </r>
    <r>
      <rPr>
        <sz val="10"/>
        <rFont val="Noto Sans CJK SC"/>
        <family val="2"/>
      </rPr>
      <t xml:space="preserve">算召回率。</t>
    </r>
  </si>
  <si>
    <r>
      <rPr>
        <sz val="10"/>
        <rFont val="Arial"/>
        <family val="0"/>
        <charset val="1"/>
      </rPr>
      <t xml:space="preserve">B_</t>
    </r>
    <r>
      <rPr>
        <sz val="10"/>
        <rFont val="Noto Sans CJK SC"/>
        <family val="2"/>
      </rPr>
      <t xml:space="preserve">人工評分</t>
    </r>
  </si>
  <si>
    <r>
      <rPr>
        <sz val="10"/>
        <rFont val="Noto Sans CJK SC"/>
        <family val="2"/>
      </rPr>
      <t xml:space="preserve">盲評：每筆 </t>
    </r>
    <r>
      <rPr>
        <sz val="10"/>
        <rFont val="Arial"/>
        <family val="0"/>
        <charset val="1"/>
      </rPr>
      <t xml:space="preserve">code </t>
    </r>
    <r>
      <rPr>
        <sz val="10"/>
        <rFont val="Noto Sans CJK SC"/>
        <family val="2"/>
      </rPr>
      <t xml:space="preserve">的參照對應、語證支持、過度推論、排除違反。條件欄請在盲評時隱藏。</t>
    </r>
  </si>
  <si>
    <r>
      <rPr>
        <sz val="10"/>
        <rFont val="Arial"/>
        <family val="0"/>
        <charset val="1"/>
      </rPr>
      <t xml:space="preserve">B_</t>
    </r>
    <r>
      <rPr>
        <sz val="10"/>
        <rFont val="Noto Sans CJK SC"/>
        <family val="2"/>
      </rPr>
      <t xml:space="preserve">研究方向評分</t>
    </r>
  </si>
  <si>
    <t xml:space="preserve">每個研究方向的有效性、可信度、語證扣合。</t>
  </si>
  <si>
    <r>
      <rPr>
        <sz val="10"/>
        <rFont val="Arial"/>
        <family val="0"/>
        <charset val="1"/>
      </rPr>
      <t xml:space="preserve">B_</t>
    </r>
    <r>
      <rPr>
        <sz val="10"/>
        <rFont val="Noto Sans CJK SC"/>
        <family val="2"/>
      </rPr>
      <t xml:space="preserve">盲評代碼</t>
    </r>
  </si>
  <si>
    <t xml:space="preserve">條件代號 ↔ 盲評代碼對照；盲評期間請隱藏此分頁。</t>
  </si>
  <si>
    <r>
      <rPr>
        <sz val="10"/>
        <rFont val="Arial"/>
        <family val="0"/>
        <charset val="1"/>
      </rPr>
      <t xml:space="preserve">STT_</t>
    </r>
    <r>
      <rPr>
        <sz val="10"/>
        <rFont val="Noto Sans CJK SC"/>
        <family val="2"/>
      </rPr>
      <t xml:space="preserve">去識別化檢核</t>
    </r>
  </si>
  <si>
    <r>
      <rPr>
        <sz val="10"/>
        <rFont val="Noto Sans CJK SC"/>
        <family val="2"/>
      </rPr>
      <t xml:space="preserve">朗讀腳本 </t>
    </r>
    <r>
      <rPr>
        <sz val="10"/>
        <rFont val="Arial"/>
        <family val="0"/>
        <charset val="1"/>
      </rPr>
      <t xml:space="preserve">PII </t>
    </r>
    <r>
      <rPr>
        <sz val="10"/>
        <rFont val="Noto Sans CJK SC"/>
        <family val="2"/>
      </rPr>
      <t xml:space="preserve">對照表與每個條件的遮蔽結果。</t>
    </r>
  </si>
  <si>
    <r>
      <rPr>
        <sz val="10"/>
        <rFont val="Arial"/>
        <family val="0"/>
        <charset val="1"/>
      </rPr>
      <t xml:space="preserve">STT_</t>
    </r>
    <r>
      <rPr>
        <sz val="10"/>
        <rFont val="Noto Sans CJK SC"/>
        <family val="2"/>
      </rPr>
      <t xml:space="preserve">轉錄品質</t>
    </r>
  </si>
  <si>
    <r>
      <rPr>
        <sz val="10"/>
        <rFont val="Arial"/>
        <family val="0"/>
        <charset val="1"/>
      </rPr>
      <t xml:space="preserve">CER</t>
    </r>
    <r>
      <rPr>
        <sz val="10"/>
        <rFont val="Noto Sans CJK SC"/>
        <family val="2"/>
      </rPr>
      <t xml:space="preserve">、講者歸屬正確率等。</t>
    </r>
  </si>
  <si>
    <t xml:space="preserve">彙總</t>
  </si>
  <si>
    <r>
      <rPr>
        <sz val="10"/>
        <rFont val="Noto Sans CJK SC"/>
        <family val="2"/>
      </rPr>
      <t xml:space="preserve">自動彙整 </t>
    </r>
    <r>
      <rPr>
        <sz val="10"/>
        <rFont val="Arial"/>
        <family val="0"/>
        <charset val="1"/>
      </rPr>
      <t xml:space="preserve">Part 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的主要指標。</t>
    </r>
  </si>
  <si>
    <t xml:space="preserve">代號</t>
  </si>
  <si>
    <t xml:space="preserve">受試者</t>
  </si>
  <si>
    <r>
      <rPr>
        <sz val="10"/>
        <rFont val="Arial"/>
        <family val="0"/>
        <charset val="1"/>
      </rPr>
      <t xml:space="preserve">U01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U02…</t>
    </r>
    <r>
      <rPr>
        <sz val="10"/>
        <rFont val="Noto Sans CJK SC"/>
        <family val="2"/>
      </rPr>
      <t xml:space="preserve">（與逐字稿的 </t>
    </r>
    <r>
      <rPr>
        <sz val="10"/>
        <rFont val="Arial"/>
        <family val="0"/>
        <charset val="1"/>
      </rPr>
      <t xml:space="preserve">P01–P03 </t>
    </r>
    <r>
      <rPr>
        <sz val="10"/>
        <rFont val="Noto Sans CJK SC"/>
        <family val="2"/>
      </rPr>
      <t xml:space="preserve">區分）</t>
    </r>
  </si>
  <si>
    <t xml:space="preserve">模型條件</t>
  </si>
  <si>
    <r>
      <rPr>
        <sz val="10"/>
        <rFont val="Arial"/>
        <family val="0"/>
        <charset val="1"/>
      </rPr>
      <t xml:space="preserve">L1 = 4 GB </t>
    </r>
    <r>
      <rPr>
        <sz val="10"/>
        <rFont val="Noto Sans CJK SC"/>
        <family val="2"/>
      </rPr>
      <t xml:space="preserve">等級、</t>
    </r>
    <r>
      <rPr>
        <sz val="10"/>
        <rFont val="Arial"/>
        <family val="0"/>
        <charset val="1"/>
      </rPr>
      <t xml:space="preserve">L2 = qwen3:8b</t>
    </r>
    <r>
      <rPr>
        <sz val="10"/>
        <rFont val="Noto Sans CJK SC"/>
        <family val="2"/>
      </rPr>
      <t xml:space="preserve">（預設）、</t>
    </r>
    <r>
      <rPr>
        <sz val="10"/>
        <rFont val="Arial"/>
        <family val="0"/>
        <charset val="1"/>
      </rPr>
      <t xml:space="preserve">L3 = 14b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L4 = 32b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C2 = </t>
    </r>
    <r>
      <rPr>
        <sz val="10"/>
        <rFont val="Noto Sans CJK SC"/>
        <family val="2"/>
      </rPr>
      <t xml:space="preserve">雲端（經 </t>
    </r>
    <r>
      <rPr>
        <sz val="10"/>
        <rFont val="Arial"/>
        <family val="0"/>
        <charset val="1"/>
      </rPr>
      <t xml:space="preserve">seal_cloud_proxy</t>
    </r>
    <r>
      <rPr>
        <sz val="10"/>
        <rFont val="Noto Sans CJK SC"/>
        <family val="2"/>
      </rPr>
      <t xml:space="preserve">）</t>
    </r>
  </si>
  <si>
    <t xml:space="preserve">埋點類型</t>
  </si>
  <si>
    <r>
      <rPr>
        <sz val="10"/>
        <rFont val="Arial"/>
        <family val="0"/>
        <charset val="1"/>
      </rPr>
      <t xml:space="preserve">E1 </t>
    </r>
    <r>
      <rPr>
        <sz val="10"/>
        <rFont val="Noto Sans CJK SC"/>
        <family val="2"/>
      </rPr>
      <t xml:space="preserve">條件式選擇、</t>
    </r>
    <r>
      <rPr>
        <sz val="10"/>
        <rFont val="Arial"/>
        <family val="0"/>
        <charset val="1"/>
      </rPr>
      <t xml:space="preserve">E2 </t>
    </r>
    <r>
      <rPr>
        <sz val="10"/>
        <rFont val="Noto Sans CJK SC"/>
        <family val="2"/>
      </rPr>
      <t xml:space="preserve">觸發→行動→結果、</t>
    </r>
    <r>
      <rPr>
        <sz val="10"/>
        <rFont val="Arial"/>
        <family val="0"/>
        <charset val="1"/>
      </rPr>
      <t xml:space="preserve">E3 </t>
    </r>
    <r>
      <rPr>
        <sz val="10"/>
        <rFont val="Noto Sans CJK SC"/>
        <family val="2"/>
      </rPr>
      <t xml:space="preserve">界線／反覆做法、</t>
    </r>
    <r>
      <rPr>
        <sz val="10"/>
        <rFont val="Arial"/>
        <family val="0"/>
        <charset val="1"/>
      </rPr>
      <t xml:space="preserve">E4 </t>
    </r>
    <r>
      <rPr>
        <sz val="10"/>
        <rFont val="Noto Sans CJK SC"/>
        <family val="2"/>
      </rPr>
      <t xml:space="preserve">轉變／矛盾、</t>
    </r>
    <r>
      <rPr>
        <sz val="10"/>
        <rFont val="Arial"/>
        <family val="0"/>
        <charset val="1"/>
      </rPr>
      <t xml:space="preserve">E5 </t>
    </r>
    <r>
      <rPr>
        <sz val="10"/>
        <rFont val="Noto Sans CJK SC"/>
        <family val="2"/>
      </rPr>
      <t xml:space="preserve">第一人稱抱怨、</t>
    </r>
    <r>
      <rPr>
        <sz val="10"/>
        <rFont val="Arial"/>
        <family val="0"/>
        <charset val="1"/>
      </rPr>
      <t xml:space="preserve">E6 </t>
    </r>
    <r>
      <rPr>
        <sz val="10"/>
        <rFont val="Noto Sans CJK SC"/>
        <family val="2"/>
      </rPr>
      <t xml:space="preserve">想做卻做不到、</t>
    </r>
    <r>
      <rPr>
        <sz val="10"/>
        <rFont val="Arial"/>
        <family val="0"/>
        <charset val="1"/>
      </rPr>
      <t xml:space="preserve">E7 </t>
    </r>
    <r>
      <rPr>
        <sz val="10"/>
        <rFont val="Noto Sans CJK SC"/>
        <family val="2"/>
      </rPr>
      <t xml:space="preserve">訪員干擾句、</t>
    </r>
    <r>
      <rPr>
        <sz val="10"/>
        <rFont val="Arial"/>
        <family val="0"/>
        <charset val="1"/>
      </rPr>
      <t xml:space="preserve">E8 </t>
    </r>
    <r>
      <rPr>
        <sz val="10"/>
        <rFont val="Noto Sans CJK SC"/>
        <family val="2"/>
      </rPr>
      <t xml:space="preserve">應排除、</t>
    </r>
    <r>
      <rPr>
        <sz val="10"/>
        <rFont val="Arial"/>
        <family val="0"/>
        <charset val="1"/>
      </rPr>
      <t xml:space="preserve">E9 </t>
    </r>
    <r>
      <rPr>
        <sz val="10"/>
        <rFont val="Noto Sans CJK SC"/>
        <family val="2"/>
      </rPr>
      <t xml:space="preserve">跨受訪者對照點</t>
    </r>
  </si>
  <si>
    <t xml:space="preserve">成功</t>
  </si>
  <si>
    <r>
      <rPr>
        <sz val="10"/>
        <rFont val="Arial"/>
        <family val="0"/>
        <charset val="1"/>
      </rPr>
      <t xml:space="preserve">1 = </t>
    </r>
    <r>
      <rPr>
        <sz val="10"/>
        <rFont val="Noto Sans CJK SC"/>
        <family val="2"/>
      </rPr>
      <t xml:space="preserve">獨立完成；</t>
    </r>
    <r>
      <rPr>
        <sz val="10"/>
        <rFont val="Arial"/>
        <family val="0"/>
        <charset val="1"/>
      </rPr>
      <t xml:space="preserve">0.5 = </t>
    </r>
    <r>
      <rPr>
        <sz val="10"/>
        <rFont val="Noto Sans CJK SC"/>
        <family val="2"/>
      </rPr>
      <t xml:space="preserve">需提示一次後完成；</t>
    </r>
    <r>
      <rPr>
        <sz val="10"/>
        <rFont val="Arial"/>
        <family val="0"/>
        <charset val="1"/>
      </rPr>
      <t xml:space="preserve">0 = </t>
    </r>
    <r>
      <rPr>
        <sz val="10"/>
        <rFont val="Noto Sans CJK SC"/>
        <family val="2"/>
      </rPr>
      <t xml:space="preserve">未完成或放棄</t>
    </r>
  </si>
  <si>
    <t xml:space="preserve">嚴重度</t>
  </si>
  <si>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非問題、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表面、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輕微、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嚴重、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災難（手冊附錄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）</t>
    </r>
  </si>
  <si>
    <r>
      <rPr>
        <b val="true"/>
        <sz val="13"/>
        <color rgb="FF1F4E79"/>
        <rFont val="Arial"/>
        <family val="0"/>
        <charset val="1"/>
      </rPr>
      <t xml:space="preserve">A_</t>
    </r>
    <r>
      <rPr>
        <b val="true"/>
        <sz val="13"/>
        <color rgb="FF1F4E79"/>
        <rFont val="Noto Sans CJK SC"/>
        <family val="2"/>
      </rPr>
      <t xml:space="preserve">受試者：名單與分層</t>
    </r>
  </si>
  <si>
    <r>
      <rPr>
        <b val="true"/>
        <sz val="10"/>
        <rFont val="Noto Sans CJK SC"/>
        <family val="2"/>
      </rPr>
      <t xml:space="preserve">受試者</t>
    </r>
    <r>
      <rPr>
        <b val="true"/>
        <sz val="10"/>
        <rFont val="Arial"/>
        <family val="0"/>
        <charset val="1"/>
      </rPr>
      <t xml:space="preserve">ID</t>
    </r>
  </si>
  <si>
    <t xml:space="preserve">日期</t>
  </si>
  <si>
    <r>
      <rPr>
        <b val="true"/>
        <sz val="10"/>
        <rFont val="Noto Sans CJK SC"/>
        <family val="2"/>
      </rPr>
      <t xml:space="preserve">分層（未曾／曾用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輔助 </t>
    </r>
    <r>
      <rPr>
        <b val="true"/>
        <sz val="10"/>
        <rFont val="Arial"/>
        <family val="0"/>
        <charset val="1"/>
      </rPr>
      <t xml:space="preserve">coding</t>
    </r>
    <r>
      <rPr>
        <b val="true"/>
        <sz val="10"/>
        <rFont val="Noto Sans CJK SC"/>
        <family val="2"/>
      </rPr>
      <t xml:space="preserve">）</t>
    </r>
  </si>
  <si>
    <t xml:space="preserve">身分／領域</t>
  </si>
  <si>
    <t xml:space="preserve">訪談場數</t>
  </si>
  <si>
    <r>
      <rPr>
        <b val="true"/>
        <sz val="10"/>
        <rFont val="Noto Sans CJK SC"/>
        <family val="2"/>
      </rPr>
      <t xml:space="preserve">電腦自評</t>
    </r>
    <r>
      <rPr>
        <b val="true"/>
        <sz val="10"/>
        <rFont val="Arial"/>
        <family val="0"/>
        <charset val="1"/>
      </rPr>
      <t xml:space="preserve">(1–7)</t>
    </r>
  </si>
  <si>
    <r>
      <rPr>
        <b val="true"/>
        <sz val="10"/>
        <rFont val="Noto Sans CJK SC"/>
        <family val="2"/>
      </rPr>
      <t xml:space="preserve">隱私顧慮 </t>
    </r>
    <r>
      <rPr>
        <b val="true"/>
        <sz val="10"/>
        <rFont val="Arial"/>
        <family val="0"/>
        <charset val="1"/>
      </rPr>
      <t xml:space="preserve">B7(1–7)</t>
    </r>
  </si>
  <si>
    <r>
      <rPr>
        <b val="true"/>
        <sz val="10"/>
        <rFont val="Arial"/>
        <family val="0"/>
        <charset val="1"/>
      </rPr>
      <t xml:space="preserve">Part C </t>
    </r>
    <r>
      <rPr>
        <b val="true"/>
        <sz val="10"/>
        <rFont val="Noto Sans CJK SC"/>
        <family val="2"/>
      </rPr>
      <t xml:space="preserve">版面順序</t>
    </r>
  </si>
  <si>
    <t xml:space="preserve">主持人</t>
  </si>
  <si>
    <t xml:space="preserve">觀察員</t>
  </si>
  <si>
    <t xml:space="preserve">備註</t>
  </si>
  <si>
    <t xml:space="preserve">範例</t>
  </si>
  <si>
    <t xml:space="preserve">2026-09-15</t>
  </si>
  <si>
    <t xml:space="preserve">未曾</t>
  </si>
  <si>
    <t xml:space="preserve">碩士生／教育</t>
  </si>
  <si>
    <t xml:space="preserve">5</t>
  </si>
  <si>
    <t xml:space="preserve">AB</t>
  </si>
  <si>
    <t xml:space="preserve">CC</t>
  </si>
  <si>
    <t xml:space="preserve">PY</t>
  </si>
  <si>
    <t xml:space="preserve">使用前刪除此列</t>
  </si>
  <si>
    <r>
      <rPr>
        <b val="true"/>
        <sz val="13"/>
        <color rgb="FF1F4E79"/>
        <rFont val="Arial"/>
        <family val="0"/>
        <charset val="1"/>
      </rPr>
      <t xml:space="preserve">A_</t>
    </r>
    <r>
      <rPr>
        <b val="true"/>
        <sz val="13"/>
        <color rgb="FF1F4E79"/>
        <rFont val="Noto Sans CJK SC"/>
        <family val="2"/>
      </rPr>
      <t xml:space="preserve">任務記錄：每位受試者 </t>
    </r>
    <r>
      <rPr>
        <b val="true"/>
        <sz val="13"/>
        <color rgb="FF1F4E79"/>
        <rFont val="Arial"/>
        <family val="0"/>
        <charset val="1"/>
      </rPr>
      <t xml:space="preserve">× </t>
    </r>
    <r>
      <rPr>
        <b val="true"/>
        <sz val="13"/>
        <color rgb="FF1F4E79"/>
        <rFont val="Noto Sans CJK SC"/>
        <family val="2"/>
      </rPr>
      <t xml:space="preserve">每個任務</t>
    </r>
  </si>
  <si>
    <r>
      <rPr>
        <i val="true"/>
        <sz val="9"/>
        <color rgb="FF595959"/>
        <rFont val="Noto Sans CJK SC"/>
        <family val="2"/>
      </rPr>
      <t xml:space="preserve">主動時間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扣除模型運算等待；等待時間另填。任務後三題：難度、最卡、信任。</t>
    </r>
  </si>
  <si>
    <t xml:space="preserve">任務</t>
  </si>
  <si>
    <t xml:space="preserve">工具</t>
  </si>
  <si>
    <t xml:space="preserve">開始時間</t>
  </si>
  <si>
    <t xml:space="preserve">結束時間</t>
  </si>
  <si>
    <r>
      <rPr>
        <b val="true"/>
        <sz val="10"/>
        <rFont val="Noto Sans CJK SC"/>
        <family val="2"/>
      </rPr>
      <t xml:space="preserve">主動時間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</si>
  <si>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等待時間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</si>
  <si>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等待已跳過</t>
    </r>
    <r>
      <rPr>
        <b val="true"/>
        <sz val="10"/>
        <rFont val="Arial"/>
        <family val="0"/>
        <charset val="1"/>
      </rPr>
      <t xml:space="preserve">(Y/N)</t>
    </r>
  </si>
  <si>
    <r>
      <rPr>
        <b val="true"/>
        <sz val="10"/>
        <rFont val="Noto Sans CJK SC"/>
        <family val="2"/>
      </rPr>
      <t xml:space="preserve">成功</t>
    </r>
    <r>
      <rPr>
        <b val="true"/>
        <sz val="10"/>
        <rFont val="Arial"/>
        <family val="0"/>
        <charset val="1"/>
      </rPr>
      <t xml:space="preserve">(1/0.5/0)</t>
    </r>
  </si>
  <si>
    <t xml:space="preserve">錯誤數</t>
  </si>
  <si>
    <t xml:space="preserve">提示數</t>
  </si>
  <si>
    <r>
      <rPr>
        <b val="true"/>
        <sz val="10"/>
        <rFont val="Noto Sans CJK SC"/>
        <family val="2"/>
      </rPr>
      <t xml:space="preserve">難度</t>
    </r>
    <r>
      <rPr>
        <b val="true"/>
        <sz val="10"/>
        <rFont val="Arial"/>
        <family val="0"/>
        <charset val="1"/>
      </rPr>
      <t xml:space="preserve">(1–7)</t>
    </r>
  </si>
  <si>
    <r>
      <rPr>
        <b val="true"/>
        <sz val="10"/>
        <rFont val="Noto Sans CJK SC"/>
        <family val="2"/>
      </rPr>
      <t xml:space="preserve">信任</t>
    </r>
    <r>
      <rPr>
        <b val="true"/>
        <sz val="10"/>
        <rFont val="Arial"/>
        <family val="0"/>
        <charset val="1"/>
      </rPr>
      <t xml:space="preserve">(1–7)</t>
    </r>
  </si>
  <si>
    <t xml:space="preserve">最卡的地方</t>
  </si>
  <si>
    <t xml:space="preserve">T4</t>
  </si>
  <si>
    <t xml:space="preserve">Seal Open Coding</t>
  </si>
  <si>
    <t xml:space="preserve">10:42</t>
  </si>
  <si>
    <t xml:space="preserve">10:55</t>
  </si>
  <si>
    <t xml:space="preserve">Y</t>
  </si>
  <si>
    <t xml:space="preserve">沒勾覆寫，以為跑完了</t>
  </si>
  <si>
    <r>
      <rPr>
        <b val="true"/>
        <sz val="13"/>
        <color rgb="FF1F4E79"/>
        <rFont val="Arial"/>
        <family val="0"/>
        <charset val="1"/>
      </rPr>
      <t xml:space="preserve">A_</t>
    </r>
    <r>
      <rPr>
        <b val="true"/>
        <sz val="13"/>
        <color rgb="FF1F4E79"/>
        <rFont val="Noto Sans CJK SC"/>
        <family val="2"/>
      </rPr>
      <t xml:space="preserve">觀察事件：事件流水帳</t>
    </r>
  </si>
  <si>
    <t xml:space="preserve">時間戳</t>
  </si>
  <si>
    <t xml:space="preserve">事件類型</t>
  </si>
  <si>
    <t xml:space="preserve">描述（做了／說了什麼）</t>
  </si>
  <si>
    <r>
      <rPr>
        <b val="true"/>
        <sz val="10"/>
        <rFont val="Noto Sans CJK SC"/>
        <family val="2"/>
      </rPr>
      <t xml:space="preserve">嚴重度</t>
    </r>
    <r>
      <rPr>
        <b val="true"/>
        <sz val="10"/>
        <rFont val="Arial"/>
        <family val="0"/>
        <charset val="1"/>
      </rPr>
      <t xml:space="preserve">(0–4)</t>
    </r>
  </si>
  <si>
    <r>
      <rPr>
        <b val="true"/>
        <sz val="10"/>
        <rFont val="Noto Sans CJK SC"/>
        <family val="2"/>
      </rPr>
      <t xml:space="preserve">是否已在問題清單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編號</t>
    </r>
    <r>
      <rPr>
        <b val="true"/>
        <sz val="10"/>
        <rFont val="Arial"/>
        <family val="0"/>
        <charset val="1"/>
      </rPr>
      <t xml:space="preserve">)</t>
    </r>
  </si>
  <si>
    <t xml:space="preserve">T1</t>
  </si>
  <si>
    <t xml:space="preserve">10:12</t>
  </si>
  <si>
    <t xml:space="preserve">困惑</t>
  </si>
  <si>
    <t xml:space="preserve">Seal STT</t>
  </si>
  <si>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%LOCALAPPDATA% </t>
    </r>
    <r>
      <rPr>
        <sz val="10"/>
        <color rgb="FF0000FF"/>
        <rFont val="Noto Sans CJK SC"/>
        <family val="2"/>
      </rPr>
      <t xml:space="preserve">找不到輸出資料夾，回主畫面找了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分鐘</t>
    </r>
  </si>
  <si>
    <t xml:space="preserve">I-03</t>
  </si>
  <si>
    <r>
      <rPr>
        <b val="true"/>
        <sz val="13"/>
        <color rgb="FF1F4E79"/>
        <rFont val="Arial"/>
        <family val="0"/>
        <charset val="1"/>
      </rPr>
      <t xml:space="preserve">A_SUS</t>
    </r>
    <r>
      <rPr>
        <b val="true"/>
        <sz val="13"/>
        <color rgb="FF1F4E79"/>
        <rFont val="Noto Sans CJK SC"/>
        <family val="2"/>
      </rPr>
      <t xml:space="preserve">：系統易用性量表</t>
    </r>
  </si>
  <si>
    <r>
      <rPr>
        <i val="true"/>
        <sz val="9"/>
        <color rgb="FF595959"/>
        <rFont val="Noto Sans CJK SC"/>
        <family val="2"/>
      </rPr>
      <t xml:space="preserve">填原始圈選值 </t>
    </r>
    <r>
      <rPr>
        <i val="true"/>
        <sz val="9"/>
        <color rgb="FF595959"/>
        <rFont val="Arial"/>
        <family val="0"/>
        <charset val="1"/>
      </rPr>
      <t xml:space="preserve">1–5</t>
    </r>
    <r>
      <rPr>
        <i val="true"/>
        <sz val="9"/>
        <color rgb="FF595959"/>
        <rFont val="Noto Sans CJK SC"/>
        <family val="2"/>
      </rPr>
      <t xml:space="preserve">；奇數題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值−</t>
    </r>
    <r>
      <rPr>
        <i val="true"/>
        <sz val="9"/>
        <color rgb="FF595959"/>
        <rFont val="Arial"/>
        <family val="0"/>
        <charset val="1"/>
      </rPr>
      <t xml:space="preserve">1)</t>
    </r>
    <r>
      <rPr>
        <i val="true"/>
        <sz val="9"/>
        <color rgb="FF595959"/>
        <rFont val="Noto Sans CJK SC"/>
        <family val="2"/>
      </rPr>
      <t xml:space="preserve">、偶數題 </t>
    </r>
    <r>
      <rPr>
        <i val="true"/>
        <sz val="9"/>
        <color rgb="FF595959"/>
        <rFont val="Arial"/>
        <family val="0"/>
        <charset val="1"/>
      </rPr>
      <t xml:space="preserve">(5−</t>
    </r>
    <r>
      <rPr>
        <i val="true"/>
        <sz val="9"/>
        <color rgb="FF595959"/>
        <rFont val="Noto Sans CJK SC"/>
        <family val="2"/>
      </rPr>
      <t xml:space="preserve">值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，總和 </t>
    </r>
    <r>
      <rPr>
        <i val="true"/>
        <sz val="9"/>
        <color rgb="FF595959"/>
        <rFont val="Arial"/>
        <family val="0"/>
        <charset val="1"/>
      </rPr>
      <t xml:space="preserve">×2.5</t>
    </r>
    <r>
      <rPr>
        <i val="true"/>
        <sz val="9"/>
        <color rgb="FF595959"/>
        <rFont val="Noto Sans CJK SC"/>
        <family val="2"/>
      </rPr>
      <t xml:space="preserve">。</t>
    </r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</si>
  <si>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</si>
  <si>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</si>
  <si>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</si>
  <si>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</si>
  <si>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</si>
  <si>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</si>
  <si>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</si>
  <si>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</si>
  <si>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</si>
  <si>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</si>
  <si>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奇數題得分</t>
  </si>
  <si>
    <t xml:space="preserve">偶數題得分</t>
  </si>
  <si>
    <r>
      <rPr>
        <b val="true"/>
        <sz val="10"/>
        <rFont val="Arial"/>
        <family val="0"/>
        <charset val="1"/>
      </rPr>
      <t xml:space="preserve">SUS </t>
    </r>
    <r>
      <rPr>
        <b val="true"/>
        <sz val="10"/>
        <rFont val="Noto Sans CJK SC"/>
        <family val="2"/>
      </rPr>
      <t xml:space="preserve">分數</t>
    </r>
  </si>
  <si>
    <t xml:space="preserve">n</t>
  </si>
  <si>
    <t xml:space="preserve">平均</t>
  </si>
  <si>
    <t xml:space="preserve">標準差</t>
  </si>
  <si>
    <r>
      <rPr>
        <sz val="10"/>
        <color rgb="FF000000"/>
        <rFont val="Arial"/>
        <family val="0"/>
        <charset val="1"/>
      </rPr>
      <t xml:space="preserve">95% CI </t>
    </r>
    <r>
      <rPr>
        <sz val="10"/>
        <color rgb="FF000000"/>
        <rFont val="Noto Sans CJK SC"/>
        <family val="2"/>
      </rPr>
      <t xml:space="preserve">半寬</t>
    </r>
  </si>
  <si>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下界</t>
    </r>
  </si>
  <si>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上界</t>
    </r>
  </si>
  <si>
    <r>
      <rPr>
        <i val="true"/>
        <sz val="9"/>
        <color rgb="FF595959"/>
        <rFont val="Noto Sans CJK SC"/>
        <family val="2"/>
      </rPr>
      <t xml:space="preserve">基準 </t>
    </r>
    <r>
      <rPr>
        <i val="true"/>
        <sz val="9"/>
        <color rgb="FF595959"/>
        <rFont val="Arial"/>
        <family val="0"/>
        <charset val="1"/>
      </rPr>
      <t xml:space="preserve">68</t>
    </r>
    <r>
      <rPr>
        <i val="true"/>
        <sz val="9"/>
        <color rgb="FF595959"/>
        <rFont val="Noto Sans CJK SC"/>
        <family val="2"/>
      </rPr>
      <t xml:space="preserve">；≥</t>
    </r>
    <r>
      <rPr>
        <i val="true"/>
        <sz val="9"/>
        <color rgb="FF595959"/>
        <rFont val="Arial"/>
        <family val="0"/>
        <charset val="1"/>
      </rPr>
      <t xml:space="preserve">80 </t>
    </r>
    <r>
      <rPr>
        <i val="true"/>
        <sz val="9"/>
        <color rgb="FF595959"/>
        <rFont val="Noto Sans CJK SC"/>
        <family val="2"/>
      </rPr>
      <t xml:space="preserve">屬優良。</t>
    </r>
    <r>
      <rPr>
        <i val="true"/>
        <sz val="9"/>
        <color rgb="FF595959"/>
        <rFont val="Arial"/>
        <family val="0"/>
        <charset val="1"/>
      </rPr>
      <t xml:space="preserve">CI </t>
    </r>
    <r>
      <rPr>
        <i val="true"/>
        <sz val="9"/>
        <color rgb="FF595959"/>
        <rFont val="Noto Sans CJK SC"/>
        <family val="2"/>
      </rPr>
      <t xml:space="preserve">用 </t>
    </r>
    <r>
      <rPr>
        <i val="true"/>
        <sz val="9"/>
        <color rgb="FF595959"/>
        <rFont val="Arial"/>
        <family val="0"/>
        <charset val="1"/>
      </rPr>
      <t xml:space="preserve">t </t>
    </r>
    <r>
      <rPr>
        <i val="true"/>
        <sz val="9"/>
        <color rgb="FF595959"/>
        <rFont val="Noto Sans CJK SC"/>
        <family val="2"/>
      </rPr>
      <t xml:space="preserve">分布（</t>
    </r>
    <r>
      <rPr>
        <i val="true"/>
        <sz val="9"/>
        <color rgb="FF595959"/>
        <rFont val="Arial"/>
        <family val="0"/>
        <charset val="1"/>
      </rPr>
      <t xml:space="preserve">TINV </t>
    </r>
    <r>
      <rPr>
        <i val="true"/>
        <sz val="9"/>
        <color rgb="FF595959"/>
        <rFont val="Noto Sans CJK SC"/>
        <family val="2"/>
      </rPr>
      <t xml:space="preserve">為雙尾）。</t>
    </r>
  </si>
  <si>
    <r>
      <rPr>
        <b val="true"/>
        <sz val="13"/>
        <color rgb="FF1F4E79"/>
        <rFont val="Arial"/>
        <family val="0"/>
        <charset val="1"/>
      </rPr>
      <t xml:space="preserve">A_</t>
    </r>
    <r>
      <rPr>
        <b val="true"/>
        <sz val="13"/>
        <color rgb="FF1F4E79"/>
        <rFont val="Noto Sans CJK SC"/>
        <family val="2"/>
      </rPr>
      <t xml:space="preserve">量表：信任與驗證意願（</t>
    </r>
    <r>
      <rPr>
        <b val="true"/>
        <sz val="13"/>
        <color rgb="FF1F4E79"/>
        <rFont val="Arial"/>
        <family val="0"/>
        <charset val="1"/>
      </rPr>
      <t xml:space="preserve">1–7</t>
    </r>
    <r>
      <rPr>
        <b val="true"/>
        <sz val="13"/>
        <color rgb="FF1F4E79"/>
        <rFont val="Noto Sans CJK SC"/>
        <family val="2"/>
      </rPr>
      <t xml:space="preserve">）與每工具三題（</t>
    </r>
    <r>
      <rPr>
        <b val="true"/>
        <sz val="13"/>
        <color rgb="FF1F4E79"/>
        <rFont val="Arial"/>
        <family val="0"/>
        <charset val="1"/>
      </rPr>
      <t xml:space="preserve">1–7</t>
    </r>
    <r>
      <rPr>
        <b val="true"/>
        <sz val="13"/>
        <color rgb="FF1F4E7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</si>
  <si>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反映原話</t>
    </r>
  </si>
  <si>
    <r>
      <rPr>
        <b val="true"/>
        <sz val="10"/>
        <rFont val="Arial"/>
        <family val="0"/>
        <charset val="1"/>
      </rPr>
      <t xml:space="preserve">V2 </t>
    </r>
    <r>
      <rPr>
        <b val="true"/>
        <sz val="10"/>
        <rFont val="Noto Sans CJK SC"/>
        <family val="2"/>
      </rPr>
      <t xml:space="preserve">會回看語證</t>
    </r>
  </si>
  <si>
    <r>
      <rPr>
        <b val="true"/>
        <sz val="10"/>
        <rFont val="Arial"/>
        <family val="0"/>
        <charset val="1"/>
      </rPr>
      <t xml:space="preserve">V3 </t>
    </r>
    <r>
      <rPr>
        <b val="true"/>
        <sz val="10"/>
        <rFont val="Noto Sans CJK SC"/>
        <family val="2"/>
      </rPr>
      <t xml:space="preserve">理由有幫助</t>
    </r>
  </si>
  <si>
    <r>
      <rPr>
        <b val="true"/>
        <sz val="10"/>
        <rFont val="Arial"/>
        <family val="0"/>
        <charset val="1"/>
      </rPr>
      <t xml:space="preserve">V4 </t>
    </r>
    <r>
      <rPr>
        <b val="true"/>
        <sz val="10"/>
        <rFont val="Noto Sans CJK SC"/>
        <family val="2"/>
      </rPr>
      <t xml:space="preserve">知道在本機</t>
    </r>
  </si>
  <si>
    <r>
      <rPr>
        <b val="true"/>
        <sz val="10"/>
        <rFont val="Arial"/>
        <family val="0"/>
        <charset val="1"/>
      </rPr>
      <t xml:space="preserve">V5 </t>
    </r>
    <r>
      <rPr>
        <b val="true"/>
        <sz val="10"/>
        <rFont val="Noto Sans CJK SC"/>
        <family val="2"/>
      </rPr>
      <t xml:space="preserve">當起點</t>
    </r>
  </si>
  <si>
    <r>
      <rPr>
        <b val="true"/>
        <sz val="10"/>
        <rFont val="Arial"/>
        <family val="0"/>
        <charset val="1"/>
      </rPr>
      <t xml:space="preserve">V6 </t>
    </r>
    <r>
      <rPr>
        <b val="true"/>
        <sz val="10"/>
        <rFont val="Noto Sans CJK SC"/>
        <family val="2"/>
      </rPr>
      <t xml:space="preserve">擔心漏掉</t>
    </r>
  </si>
  <si>
    <r>
      <rPr>
        <b val="true"/>
        <sz val="10"/>
        <rFont val="Arial"/>
        <family val="0"/>
        <charset val="1"/>
      </rPr>
      <t xml:space="preserve">STT </t>
    </r>
    <r>
      <rPr>
        <b val="true"/>
        <sz val="10"/>
        <rFont val="Noto Sans CJK SC"/>
        <family val="2"/>
      </rPr>
      <t xml:space="preserve">容易上手</t>
    </r>
  </si>
  <si>
    <r>
      <rPr>
        <b val="true"/>
        <sz val="10"/>
        <rFont val="Arial"/>
        <family val="0"/>
        <charset val="1"/>
      </rPr>
      <t xml:space="preserve">STT </t>
    </r>
    <r>
      <rPr>
        <b val="true"/>
        <sz val="10"/>
        <rFont val="Noto Sans CJK SC"/>
        <family val="2"/>
      </rPr>
      <t xml:space="preserve">知道在做什麼</t>
    </r>
  </si>
  <si>
    <r>
      <rPr>
        <b val="true"/>
        <sz val="10"/>
        <rFont val="Arial"/>
        <family val="0"/>
        <charset val="1"/>
      </rPr>
      <t xml:space="preserve">STT </t>
    </r>
    <r>
      <rPr>
        <b val="true"/>
        <sz val="10"/>
        <rFont val="Noto Sans CJK SC"/>
        <family val="2"/>
      </rPr>
      <t xml:space="preserve">信任輸出</t>
    </r>
  </si>
  <si>
    <r>
      <rPr>
        <b val="true"/>
        <sz val="10"/>
        <rFont val="Arial"/>
        <family val="0"/>
        <charset val="1"/>
      </rPr>
      <t xml:space="preserve">OC </t>
    </r>
    <r>
      <rPr>
        <b val="true"/>
        <sz val="10"/>
        <rFont val="Noto Sans CJK SC"/>
        <family val="2"/>
      </rPr>
      <t xml:space="preserve">容易上手</t>
    </r>
  </si>
  <si>
    <r>
      <rPr>
        <b val="true"/>
        <sz val="10"/>
        <rFont val="Arial"/>
        <family val="0"/>
        <charset val="1"/>
      </rPr>
      <t xml:space="preserve">OC </t>
    </r>
    <r>
      <rPr>
        <b val="true"/>
        <sz val="10"/>
        <rFont val="Noto Sans CJK SC"/>
        <family val="2"/>
      </rPr>
      <t xml:space="preserve">知道在做什麼</t>
    </r>
  </si>
  <si>
    <r>
      <rPr>
        <b val="true"/>
        <sz val="10"/>
        <rFont val="Arial"/>
        <family val="0"/>
        <charset val="1"/>
      </rPr>
      <t xml:space="preserve">OC </t>
    </r>
    <r>
      <rPr>
        <b val="true"/>
        <sz val="10"/>
        <rFont val="Noto Sans CJK SC"/>
        <family val="2"/>
      </rPr>
      <t xml:space="preserve">信任輸出</t>
    </r>
  </si>
  <si>
    <r>
      <rPr>
        <b val="true"/>
        <sz val="10"/>
        <rFont val="Arial"/>
        <family val="0"/>
        <charset val="1"/>
      </rPr>
      <t xml:space="preserve">Reader </t>
    </r>
    <r>
      <rPr>
        <b val="true"/>
        <sz val="10"/>
        <rFont val="Noto Sans CJK SC"/>
        <family val="2"/>
      </rPr>
      <t xml:space="preserve">容易上手</t>
    </r>
  </si>
  <si>
    <r>
      <rPr>
        <b val="true"/>
        <sz val="10"/>
        <rFont val="Arial"/>
        <family val="0"/>
        <charset val="1"/>
      </rPr>
      <t xml:space="preserve">Reader </t>
    </r>
    <r>
      <rPr>
        <b val="true"/>
        <sz val="10"/>
        <rFont val="Noto Sans CJK SC"/>
        <family val="2"/>
      </rPr>
      <t xml:space="preserve">知道在做什麼</t>
    </r>
  </si>
  <si>
    <r>
      <rPr>
        <b val="true"/>
        <sz val="10"/>
        <rFont val="Arial"/>
        <family val="0"/>
        <charset val="1"/>
      </rPr>
      <t xml:space="preserve">Reader </t>
    </r>
    <r>
      <rPr>
        <b val="true"/>
        <sz val="10"/>
        <rFont val="Noto Sans CJK SC"/>
        <family val="2"/>
      </rPr>
      <t xml:space="preserve">信任輸出</t>
    </r>
  </si>
  <si>
    <r>
      <rPr>
        <b val="true"/>
        <sz val="13"/>
        <color rgb="FF1F4E79"/>
        <rFont val="Arial"/>
        <family val="0"/>
        <charset val="1"/>
      </rPr>
      <t xml:space="preserve">PartC_</t>
    </r>
    <r>
      <rPr>
        <b val="true"/>
        <sz val="13"/>
        <color rgb="FF1F4E79"/>
        <rFont val="Noto Sans CJK SC"/>
        <family val="2"/>
      </rPr>
      <t xml:space="preserve">稽核：</t>
    </r>
    <r>
      <rPr>
        <b val="true"/>
        <sz val="13"/>
        <color rgb="FF1F4E79"/>
        <rFont val="Arial"/>
        <family val="0"/>
        <charset val="1"/>
      </rPr>
      <t xml:space="preserve">T6 </t>
    </r>
    <r>
      <rPr>
        <b val="true"/>
        <sz val="13"/>
        <color rgb="FF1F4E79"/>
        <rFont val="Noto Sans CJK SC"/>
        <family val="2"/>
      </rPr>
      <t xml:space="preserve">每筆 </t>
    </r>
    <r>
      <rPr>
        <b val="true"/>
        <sz val="13"/>
        <color rgb="FF1F4E79"/>
        <rFont val="Arial"/>
        <family val="0"/>
        <charset val="1"/>
      </rPr>
      <t xml:space="preserve">code </t>
    </r>
    <r>
      <rPr>
        <b val="true"/>
        <sz val="13"/>
        <color rgb="FF1F4E79"/>
        <rFont val="Noto Sans CJK SC"/>
        <family val="2"/>
      </rPr>
      <t xml:space="preserve">的判定</t>
    </r>
  </si>
  <si>
    <r>
      <rPr>
        <i val="true"/>
        <sz val="9"/>
        <color rgb="FF595959"/>
        <rFont val="Noto Sans CJK SC"/>
        <family val="2"/>
      </rPr>
      <t xml:space="preserve">每位受試者 </t>
    </r>
    <r>
      <rPr>
        <i val="true"/>
        <sz val="9"/>
        <color rgb="FF595959"/>
        <rFont val="Arial"/>
        <family val="0"/>
        <charset val="1"/>
      </rPr>
      <t xml:space="preserve">12 </t>
    </r>
    <r>
      <rPr>
        <i val="true"/>
        <sz val="9"/>
        <color rgb="FF595959"/>
        <rFont val="Noto Sans CJK SC"/>
        <family val="2"/>
      </rPr>
      <t xml:space="preserve">列。植入 </t>
    </r>
    <r>
      <rPr>
        <i val="true"/>
        <sz val="9"/>
        <color rgb="FF595959"/>
        <rFont val="Arial"/>
        <family val="0"/>
        <charset val="1"/>
      </rPr>
      <t xml:space="preserve">= Y </t>
    </r>
    <r>
      <rPr>
        <i val="true"/>
        <sz val="9"/>
        <color rgb="FF595959"/>
        <rFont val="Noto Sans CJK SC"/>
        <family val="2"/>
      </rPr>
      <t xml:space="preserve">的列是問題 </t>
    </r>
    <r>
      <rPr>
        <i val="true"/>
        <sz val="9"/>
        <color rgb="FF595959"/>
        <rFont val="Arial"/>
        <family val="0"/>
        <charset val="1"/>
      </rPr>
      <t xml:space="preserve">code</t>
    </r>
    <r>
      <rPr>
        <i val="true"/>
        <sz val="9"/>
        <color rgb="FF595959"/>
        <rFont val="Noto Sans CJK SC"/>
        <family val="2"/>
      </rPr>
      <t xml:space="preserve">（類型 </t>
    </r>
    <r>
      <rPr>
        <i val="true"/>
        <sz val="9"/>
        <color rgb="FF595959"/>
        <rFont val="Arial"/>
        <family val="0"/>
        <charset val="1"/>
      </rPr>
      <t xml:space="preserve">a </t>
    </r>
    <r>
      <rPr>
        <i val="true"/>
        <sz val="9"/>
        <color rgb="FF595959"/>
        <rFont val="Noto Sans CJK SC"/>
        <family val="2"/>
      </rPr>
      <t xml:space="preserve">語證不支持／</t>
    </r>
    <r>
      <rPr>
        <i val="true"/>
        <sz val="9"/>
        <color rgb="FF595959"/>
        <rFont val="Arial"/>
        <family val="0"/>
        <charset val="1"/>
      </rPr>
      <t xml:space="preserve">b </t>
    </r>
    <r>
      <rPr>
        <i val="true"/>
        <sz val="9"/>
        <color rgb="FF595959"/>
        <rFont val="Noto Sans CJK SC"/>
        <family val="2"/>
      </rPr>
      <t xml:space="preserve">主句為訪員／</t>
    </r>
    <r>
      <rPr>
        <i val="true"/>
        <sz val="9"/>
        <color rgb="FF595959"/>
        <rFont val="Arial"/>
        <family val="0"/>
        <charset val="1"/>
      </rPr>
      <t xml:space="preserve">c </t>
    </r>
    <r>
      <rPr>
        <i val="true"/>
        <sz val="9"/>
        <color rgb="FF595959"/>
        <rFont val="Noto Sans CJK SC"/>
        <family val="2"/>
      </rPr>
      <t xml:space="preserve">過度推論）。</t>
    </r>
  </si>
  <si>
    <r>
      <rPr>
        <b val="true"/>
        <sz val="10"/>
        <rFont val="Noto Sans CJK SC"/>
        <family val="2"/>
      </rPr>
      <t xml:space="preserve">版面</t>
    </r>
    <r>
      <rPr>
        <b val="true"/>
        <sz val="10"/>
        <rFont val="Arial"/>
        <family val="0"/>
        <charset val="1"/>
      </rPr>
      <t xml:space="preserve">(A/B)</t>
    </r>
  </si>
  <si>
    <t xml:space="preserve">筆序</t>
  </si>
  <si>
    <r>
      <rPr>
        <b val="true"/>
        <sz val="10"/>
        <rFont val="Noto Sans CJK SC"/>
        <family val="2"/>
      </rPr>
      <t xml:space="preserve">植入</t>
    </r>
    <r>
      <rPr>
        <b val="true"/>
        <sz val="10"/>
        <rFont val="Arial"/>
        <family val="0"/>
        <charset val="1"/>
      </rPr>
      <t xml:space="preserve">(Y/N)</t>
    </r>
  </si>
  <si>
    <r>
      <rPr>
        <b val="true"/>
        <sz val="10"/>
        <rFont val="Noto Sans CJK SC"/>
        <family val="2"/>
      </rPr>
      <t xml:space="preserve">植入類型</t>
    </r>
    <r>
      <rPr>
        <b val="true"/>
        <sz val="10"/>
        <rFont val="Arial"/>
        <family val="0"/>
        <charset val="1"/>
      </rPr>
      <t xml:space="preserve">(a/b/c)</t>
    </r>
  </si>
  <si>
    <t xml:space="preserve">受試者判定</t>
  </si>
  <si>
    <r>
      <rPr>
        <b val="true"/>
        <sz val="10"/>
        <rFont val="Noto Sans CJK SC"/>
        <family val="2"/>
      </rPr>
      <t xml:space="preserve">信心</t>
    </r>
    <r>
      <rPr>
        <b val="true"/>
        <sz val="10"/>
        <rFont val="Arial"/>
        <family val="0"/>
        <charset val="1"/>
      </rPr>
      <t xml:space="preserve">(1–7)</t>
    </r>
  </si>
  <si>
    <r>
      <rPr>
        <b val="true"/>
        <sz val="10"/>
        <rFont val="Noto Sans CJK SC"/>
        <family val="2"/>
      </rPr>
      <t xml:space="preserve">時間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</si>
  <si>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切換完整上下文</t>
    </r>
    <r>
      <rPr>
        <b val="true"/>
        <sz val="10"/>
        <rFont val="Arial"/>
        <family val="0"/>
        <charset val="1"/>
      </rPr>
      <t xml:space="preserve">(Y/N)</t>
    </r>
  </si>
  <si>
    <t xml:space="preserve">拒絕理由摘要</t>
  </si>
  <si>
    <t xml:space="preserve">正確偵測</t>
  </si>
  <si>
    <t xml:space="preserve">誤拒</t>
  </si>
  <si>
    <t xml:space="preserve">漏檢</t>
  </si>
  <si>
    <t xml:space="preserve">A</t>
  </si>
  <si>
    <t xml:space="preserve">a</t>
  </si>
  <si>
    <t xml:space="preserve">不採用</t>
  </si>
  <si>
    <t xml:space="preserve">語證裡沒有說客戶會拒付款</t>
  </si>
  <si>
    <r>
      <rPr>
        <b val="true"/>
        <sz val="13"/>
        <color rgb="FF1F4E79"/>
        <rFont val="Arial"/>
        <family val="0"/>
        <charset val="1"/>
      </rPr>
      <t xml:space="preserve">B_</t>
    </r>
    <r>
      <rPr>
        <b val="true"/>
        <sz val="13"/>
        <color rgb="FF1F4E79"/>
        <rFont val="Noto Sans CJK SC"/>
        <family val="2"/>
      </rPr>
      <t xml:space="preserve">執行記錄：</t>
    </r>
    <r>
      <rPr>
        <b val="true"/>
        <sz val="13"/>
        <color rgb="FF1F4E79"/>
        <rFont val="Arial"/>
        <family val="0"/>
        <charset val="1"/>
      </rPr>
      <t xml:space="preserve">Part B </t>
    </r>
    <r>
      <rPr>
        <b val="true"/>
        <sz val="13"/>
        <color rgb="FF1F4E79"/>
        <rFont val="Noto Sans CJK SC"/>
        <family val="2"/>
      </rPr>
      <t xml:space="preserve">每次執行</t>
    </r>
  </si>
  <si>
    <r>
      <rPr>
        <i val="true"/>
        <sz val="9"/>
        <color rgb="FF595959"/>
        <rFont val="Noto Sans CJK SC"/>
        <family val="2"/>
      </rPr>
      <t xml:space="preserve">凍結參數：</t>
    </r>
    <r>
      <rPr>
        <i val="true"/>
        <sz val="9"/>
        <color rgb="FF595959"/>
        <rFont val="Arial"/>
        <family val="0"/>
        <charset val="1"/>
      </rPr>
      <t xml:space="preserve">5000 </t>
    </r>
    <r>
      <rPr>
        <i val="true"/>
        <sz val="9"/>
        <color rgb="FF595959"/>
        <rFont val="Noto Sans CJK SC"/>
        <family val="2"/>
      </rPr>
      <t xml:space="preserve">字／</t>
    </r>
    <r>
      <rPr>
        <i val="true"/>
        <sz val="9"/>
        <color rgb="FF595959"/>
        <rFont val="Arial"/>
        <family val="0"/>
        <charset val="1"/>
      </rPr>
      <t xml:space="preserve">15 </t>
    </r>
    <r>
      <rPr>
        <i val="true"/>
        <sz val="9"/>
        <color rgb="FF595959"/>
        <rFont val="Noto Sans CJK SC"/>
        <family val="2"/>
      </rPr>
      <t xml:space="preserve">句／半徑 </t>
    </r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／保底 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／最低 </t>
    </r>
    <r>
      <rPr>
        <i val="true"/>
        <sz val="9"/>
        <color rgb="FF595959"/>
        <rFont val="Arial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／精選開／</t>
    </r>
    <r>
      <rPr>
        <i val="true"/>
        <sz val="9"/>
        <color rgb="FF595959"/>
        <rFont val="Arial"/>
        <family val="0"/>
        <charset val="1"/>
      </rPr>
      <t xml:space="preserve">num_ctx 8192</t>
    </r>
    <r>
      <rPr>
        <i val="true"/>
        <sz val="9"/>
        <color rgb="FF595959"/>
        <rFont val="Noto Sans CJK SC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seal_eval_collect.py </t>
    </r>
    <r>
      <rPr>
        <i val="true"/>
        <sz val="9"/>
        <color rgb="FF595959"/>
        <rFont val="Noto Sans CJK SC"/>
        <family val="2"/>
      </rPr>
      <t xml:space="preserve">的 </t>
    </r>
    <r>
      <rPr>
        <i val="true"/>
        <sz val="9"/>
        <color rgb="FF595959"/>
        <rFont val="Arial"/>
        <family val="0"/>
        <charset val="1"/>
      </rPr>
      <t xml:space="preserve">summary.csv </t>
    </r>
    <r>
      <rPr>
        <i val="true"/>
        <sz val="9"/>
        <color rgb="FF595959"/>
        <rFont val="Noto Sans CJK SC"/>
        <family val="2"/>
      </rPr>
      <t xml:space="preserve">可直接貼到 </t>
    </r>
    <r>
      <rPr>
        <i val="true"/>
        <sz val="9"/>
        <color rgb="FF595959"/>
        <rFont val="Arial"/>
        <family val="0"/>
        <charset val="1"/>
      </rPr>
      <t xml:space="preserve">A–N </t>
    </r>
    <r>
      <rPr>
        <i val="true"/>
        <sz val="9"/>
        <color rgb="FF595959"/>
        <rFont val="Noto Sans CJK SC"/>
        <family val="2"/>
      </rPr>
      <t xml:space="preserve">欄。</t>
    </r>
  </si>
  <si>
    <t xml:space="preserve">條件代號</t>
  </si>
  <si>
    <t xml:space="preserve">模型</t>
  </si>
  <si>
    <t xml:space="preserve">執行方式</t>
  </si>
  <si>
    <t xml:space="preserve">逐字稿</t>
  </si>
  <si>
    <t xml:space="preserve">run</t>
  </si>
  <si>
    <r>
      <rPr>
        <b val="true"/>
        <sz val="10"/>
        <rFont val="Noto Sans CJK SC"/>
        <family val="2"/>
      </rPr>
      <t xml:space="preserve">執行時間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</si>
  <si>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t xml:space="preserve">逾時次數</t>
  </si>
  <si>
    <t xml:space="preserve">略過片段</t>
  </si>
  <si>
    <t xml:space="preserve">可定位初始候選</t>
  </si>
  <si>
    <t xml:space="preserve">通過門檻</t>
  </si>
  <si>
    <t xml:space="preserve">最後保留</t>
  </si>
  <si>
    <r>
      <rPr>
        <b val="true"/>
        <sz val="10"/>
        <rFont val="Arial"/>
        <family val="0"/>
        <charset val="1"/>
      </rPr>
      <t xml:space="preserve">code </t>
    </r>
    <r>
      <rPr>
        <b val="true"/>
        <sz val="10"/>
        <rFont val="Noto Sans CJK SC"/>
        <family val="2"/>
      </rPr>
      <t xml:space="preserve">列數</t>
    </r>
  </si>
  <si>
    <t xml:space="preserve">Seal commit</t>
  </si>
  <si>
    <r>
      <rPr>
        <b val="true"/>
        <sz val="10"/>
        <rFont val="Arial"/>
        <family val="0"/>
        <charset val="1"/>
      </rPr>
      <t xml:space="preserve">Ollama </t>
    </r>
    <r>
      <rPr>
        <b val="true"/>
        <sz val="10"/>
        <rFont val="Noto Sans CJK SC"/>
        <family val="2"/>
      </rPr>
      <t xml:space="preserve">版本／模型 </t>
    </r>
    <r>
      <rPr>
        <b val="true"/>
        <sz val="10"/>
        <rFont val="Arial"/>
        <family val="0"/>
        <charset val="1"/>
      </rPr>
      <t xml:space="preserve">digest</t>
    </r>
  </si>
  <si>
    <r>
      <rPr>
        <b val="true"/>
        <sz val="10"/>
        <rFont val="Noto Sans CJK SC"/>
        <family val="2"/>
      </rPr>
      <t xml:space="preserve">雲端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</t>
    </r>
  </si>
  <si>
    <t xml:space="preserve">雲端費用</t>
  </si>
  <si>
    <t xml:space="preserve">L2</t>
  </si>
  <si>
    <t xml:space="preserve">qwen3:8b</t>
  </si>
  <si>
    <t xml:space="preserve">本機</t>
  </si>
  <si>
    <r>
      <rPr>
        <sz val="10"/>
        <color rgb="FF0000FF"/>
        <rFont val="Arial"/>
        <family val="0"/>
        <charset val="1"/>
      </rPr>
      <t xml:space="preserve">P01_</t>
    </r>
    <r>
      <rPr>
        <sz val="10"/>
        <color rgb="FF0000FF"/>
        <rFont val="Noto Sans CJK SC"/>
        <family val="2"/>
      </rPr>
      <t xml:space="preserve">個人創作者</t>
    </r>
    <r>
      <rPr>
        <sz val="10"/>
        <color rgb="FF0000FF"/>
        <rFont val="Arial"/>
        <family val="0"/>
        <charset val="1"/>
      </rPr>
      <t xml:space="preserve">.txt</t>
    </r>
  </si>
  <si>
    <t xml:space="preserve">2026-09-20 21:10</t>
  </si>
  <si>
    <t xml:space="preserve">2026-09-20 21:31</t>
  </si>
  <si>
    <t xml:space="preserve">cb7e983+</t>
  </si>
  <si>
    <t xml:space="preserve">0.11.x / sha256:…</t>
  </si>
  <si>
    <r>
      <rPr>
        <b val="true"/>
        <sz val="13"/>
        <color rgb="FF1F4E79"/>
        <rFont val="Arial"/>
        <family val="0"/>
        <charset val="1"/>
      </rPr>
      <t xml:space="preserve">B_</t>
    </r>
    <r>
      <rPr>
        <b val="true"/>
        <sz val="13"/>
        <color rgb="FF1F4E79"/>
        <rFont val="Noto Sans CJK SC"/>
        <family val="2"/>
      </rPr>
      <t xml:space="preserve">埋點對照表：每份逐字稿的標準答案</t>
    </r>
  </si>
  <si>
    <r>
      <rPr>
        <i val="true"/>
        <sz val="9"/>
        <color rgb="FF595959"/>
        <rFont val="Noto Sans CJK SC"/>
        <family val="2"/>
      </rPr>
      <t xml:space="preserve">關鍵句必須能在逐字稿中逐字找到且只出現一次；新逐字稿請依同格式續填。行號以逐字稿的行為準（第 </t>
    </r>
    <r>
      <rPr>
        <i val="true"/>
        <sz val="9"/>
        <color rgb="FF595959"/>
        <rFont val="Arial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行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第一句訪員）。</t>
    </r>
  </si>
  <si>
    <r>
      <rPr>
        <b val="true"/>
        <sz val="10"/>
        <rFont val="Noto Sans CJK SC"/>
        <family val="2"/>
      </rPr>
      <t xml:space="preserve">埋點</t>
    </r>
    <r>
      <rPr>
        <b val="true"/>
        <sz val="10"/>
        <rFont val="Arial"/>
        <family val="0"/>
        <charset val="1"/>
      </rPr>
      <t xml:space="preserve">ID</t>
    </r>
  </si>
  <si>
    <t xml:space="preserve">類型</t>
  </si>
  <si>
    <t xml:space="preserve">行號</t>
  </si>
  <si>
    <t xml:space="preserve">關鍵句（逐字）</t>
  </si>
  <si>
    <r>
      <rPr>
        <b val="true"/>
        <sz val="10"/>
        <rFont val="Noto Sans CJK SC"/>
        <family val="2"/>
      </rPr>
      <t xml:space="preserve">預期 </t>
    </r>
    <r>
      <rPr>
        <b val="true"/>
        <sz val="10"/>
        <rFont val="Arial"/>
        <family val="0"/>
        <charset val="1"/>
      </rPr>
      <t xml:space="preserve">code </t>
    </r>
    <r>
      <rPr>
        <b val="true"/>
        <sz val="10"/>
        <rFont val="Noto Sans CJK SC"/>
        <family val="2"/>
      </rPr>
      <t xml:space="preserve">要點</t>
    </r>
  </si>
  <si>
    <t xml:space="preserve">給分說明</t>
  </si>
  <si>
    <t xml:space="preserve">P01-01</t>
  </si>
  <si>
    <t xml:space="preserve">E1</t>
  </si>
  <si>
    <t xml:space="preserve">但如果那支片是要接業配、要投廣告的，我就會去買授權的曲子</t>
  </si>
  <si>
    <t xml:space="preserve">自己發的日常片一律用平台內建免費音樂；只有要接業配或投廣告的影片才購買授權曲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</si>
  <si>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寫出「日常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業配／廣告」的條件與兩種做法；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只寫其中一種做法</t>
    </r>
  </si>
  <si>
    <t xml:space="preserve">P01-02</t>
  </si>
  <si>
    <t xml:space="preserve">E2</t>
  </si>
  <si>
    <t xml:space="preserve">結果那支片剛好是我那個月流量最好的一支，衝到快十萬，然後就被靜音了</t>
  </si>
  <si>
    <t xml:space="preserve">用網路找的歌被平台靜音（流量最好的一支）→ 從此不敢再用未授權音樂 → 自己發的一律改用內建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</si>
  <si>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事件＋行為改變；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只有事件</t>
    </r>
  </si>
  <si>
    <t xml:space="preserve">P01-03</t>
  </si>
  <si>
    <t xml:space="preserve">我知道這樣很沒有個性，但我寧可沒個性也不要再被靜音一次</t>
  </si>
  <si>
    <t xml:space="preserve">改用內建音樂的代價是與別人雷同、沒個性，受訪者評價為可接受（「至少片還活著」）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</si>
  <si>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代價＋受訪者的評價；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只有代價</t>
    </r>
  </si>
  <si>
    <t xml:space="preserve">P01-04</t>
  </si>
  <si>
    <t xml:space="preserve">E9</t>
  </si>
  <si>
    <t xml:space="preserve">有對的那個完播率高滿多的，大概差了快兩成</t>
  </si>
  <si>
    <r>
      <rPr>
        <sz val="10"/>
        <color rgb="FF0000FF"/>
        <rFont val="Noto Sans CJK SC"/>
        <family val="2"/>
      </rPr>
      <t xml:space="preserve">自行做兩版本 </t>
    </r>
    <r>
      <rPr>
        <sz val="10"/>
        <color rgb="FF0000FF"/>
        <rFont val="Arial"/>
        <family val="0"/>
        <charset val="1"/>
      </rPr>
      <t xml:space="preserve">A/B </t>
    </r>
    <r>
      <rPr>
        <sz val="10"/>
        <color rgb="FF0000FF"/>
        <rFont val="Noto Sans CJK SC"/>
        <family val="2"/>
      </rPr>
      <t xml:space="preserve">測試，對節拍版本完播率高近兩成，因此願意每支花兩小時對節拍（與 </t>
    </r>
    <r>
      <rPr>
        <sz val="10"/>
        <color rgb="FF0000FF"/>
        <rFont val="Arial"/>
        <family val="0"/>
        <charset val="1"/>
      </rPr>
      <t xml:space="preserve">P02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P03 </t>
    </r>
    <r>
      <rPr>
        <sz val="10"/>
        <color rgb="FF0000FF"/>
        <rFont val="Noto Sans CJK SC"/>
        <family val="2"/>
      </rPr>
      <t xml:space="preserve">相反）</t>
    </r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</si>
  <si>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測試＋結果＋願意投入時間；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只寫花兩小時</t>
    </r>
  </si>
  <si>
    <t xml:space="preserve">P01-05</t>
  </si>
  <si>
    <t xml:space="preserve">E5</t>
  </si>
  <si>
    <t xml:space="preserve">他們說這個系統會提供版權提醒，就是說你放的音樂有問題它會先跟你講。可是我沒收到</t>
  </si>
  <si>
    <t xml:space="preserve">平台宣稱的版權提醒沒有出現（影片直接被靜音、從留言才知道）→ 不再信任該功能，改為自己先查歌能不能用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</si>
  <si>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落差＋後續行為；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只有抱怨。注意此句以第一人稱轉述，舊版會誤判為訪員</t>
    </r>
  </si>
  <si>
    <t xml:space="preserve">P01-06</t>
  </si>
  <si>
    <t xml:space="preserve">E6</t>
  </si>
  <si>
    <t xml:space="preserve">有時候找不到資料我就直接放棄那首</t>
  </si>
  <si>
    <r>
      <rPr>
        <sz val="10"/>
        <color rgb="FF0000FF"/>
        <rFont val="Noto Sans CJK SC"/>
        <family val="2"/>
      </rPr>
      <t xml:space="preserve">自己土法查歌名有無被檢舉（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分鐘到半小時），查不到就放棄該曲；最麻煩的是查完後仍不確定的懸置感</t>
    </r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</si>
  <si>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做法＋代價（時間或不確定感）；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只有做法</t>
    </r>
  </si>
  <si>
    <t xml:space="preserve">P01-07</t>
  </si>
  <si>
    <t xml:space="preserve">E3</t>
  </si>
  <si>
    <t xml:space="preserve">音效只用來補畫面沒講清楚的東西，不是用來加戲的</t>
  </si>
  <si>
    <t xml:space="preserve">曾因加太多音效被留言說聽起來很累而收斂，現在的原則是音效只補畫面沒講清楚的部分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</si>
  <si>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教訓＋原則；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只有原則</t>
    </r>
  </si>
  <si>
    <t xml:space="preserve">P01-08</t>
  </si>
  <si>
    <t xml:space="preserve">E8</t>
  </si>
  <si>
    <t xml:space="preserve">大概三年了</t>
  </si>
  <si>
    <r>
      <rPr>
        <sz val="10"/>
        <color rgb="FF0000FF"/>
        <rFont val="Noto Sans CJK SC"/>
        <family val="2"/>
      </rPr>
      <t xml:space="preserve">不應產生 </t>
    </r>
    <r>
      <rPr>
        <sz val="10"/>
        <color rgb="FF0000FF"/>
        <rFont val="Arial"/>
        <family val="0"/>
        <charset val="1"/>
      </rPr>
      <t xml:space="preserve">code</t>
    </r>
    <r>
      <rPr>
        <sz val="10"/>
        <color rgb="FF0000FF"/>
        <rFont val="Noto Sans CJK SC"/>
        <family val="2"/>
      </rPr>
      <t xml:space="preserve">（只有背景、沒有理由）</t>
    </r>
  </si>
  <si>
    <r>
      <rPr>
        <sz val="10"/>
        <color rgb="FF0000FF"/>
        <rFont val="Noto Sans CJK SC"/>
        <family val="2"/>
      </rPr>
      <t xml:space="preserve">若產生以此為主句的 </t>
    </r>
    <r>
      <rPr>
        <sz val="10"/>
        <color rgb="FF0000FF"/>
        <rFont val="Arial"/>
        <family val="0"/>
        <charset val="1"/>
      </rPr>
      <t xml:space="preserve">code</t>
    </r>
    <r>
      <rPr>
        <sz val="10"/>
        <color rgb="FF0000FF"/>
        <rFont val="Noto Sans CJK SC"/>
        <family val="2"/>
      </rPr>
      <t xml:space="preserve">，記為排除違反</t>
    </r>
  </si>
  <si>
    <t xml:space="preserve">P01-09</t>
  </si>
  <si>
    <t xml:space="preserve">E7</t>
  </si>
  <si>
    <t xml:space="preserve">所以是一種取捨。</t>
  </si>
  <si>
    <t xml:space="preserve">訪員的重述，不應作為主句</t>
  </si>
  <si>
    <t xml:space="preserve">若成為主句，記為排除違反</t>
  </si>
  <si>
    <t xml:space="preserve">P02-01</t>
  </si>
  <si>
    <r>
      <rPr>
        <sz val="10"/>
        <color rgb="FF0000FF"/>
        <rFont val="Arial"/>
        <family val="0"/>
        <charset val="1"/>
      </rPr>
      <t xml:space="preserve">P02_</t>
    </r>
    <r>
      <rPr>
        <sz val="10"/>
        <color rgb="FF0000FF"/>
        <rFont val="Noto Sans CJK SC"/>
        <family val="2"/>
      </rPr>
      <t xml:space="preserve">接案剪輯師</t>
    </r>
    <r>
      <rPr>
        <sz val="10"/>
        <color rgb="FF0000FF"/>
        <rFont val="Arial"/>
        <family val="0"/>
        <charset val="1"/>
      </rPr>
      <t xml:space="preserve">.txt</t>
    </r>
  </si>
  <si>
    <t xml:space="preserve">我就去音效庫抓了一些聲音進去。像是門鈴、手機震動、還有那種遠遠的車聲</t>
  </si>
  <si>
    <t xml:space="preserve">客戶無聲拍攝的素材看起來像廣告目錄 → 鋪上低音量環境音（門鈴、手機震動、車聲）→ 留言變成「像在他家」、完播率高約三成 → 現在幾乎每支都加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</si>
  <si>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觸發＋做法＋結果；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缺其一</t>
    </r>
  </si>
  <si>
    <t xml:space="preserve">P02-02</t>
  </si>
  <si>
    <t xml:space="preserve">我後來也不太解釋，因為解釋了他可能會叫我拿掉</t>
  </si>
  <si>
    <t xml:space="preserve">客戶只感覺「比較好」卻說不出原因；受訪者選擇不解釋音效，以免客戶要求拿掉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</si>
  <si>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行為＋理由；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只有行為</t>
    </r>
  </si>
  <si>
    <t xml:space="preserve">P02-03</t>
  </si>
  <si>
    <t xml:space="preserve">免費的我會用，但只用那種標明可商用而且我下載得到授權證明的</t>
  </si>
  <si>
    <t xml:space="preserve">接案者一定用有授權的音樂（出事由自己負責、合約載明）；免費音樂只在標明可商用且能取得授權證明時使用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</si>
  <si>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條件＋理由；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只寫一定用授權</t>
    </r>
  </si>
  <si>
    <t xml:space="preserve">P02-04</t>
  </si>
  <si>
    <t xml:space="preserve">我當下找不到我是從哪裡下載的，那個過程很難受</t>
  </si>
  <si>
    <t xml:space="preserve">客戶被檢舉回頭詢問時找不到下載來源 → 之後每案各建資料夾保存授權證明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</si>
  <si>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事件＋做法；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只有做法</t>
    </r>
  </si>
  <si>
    <t xml:space="preserve">P02-05</t>
  </si>
  <si>
    <t xml:space="preserve">一支很認真對點，一支就隨便放，數據差不多</t>
  </si>
  <si>
    <r>
      <rPr>
        <sz val="10"/>
        <color rgb="FF0000FF"/>
        <rFont val="Noto Sans CJK SC"/>
        <family val="2"/>
      </rPr>
      <t xml:space="preserve">自己測試兩支相似影片，對節拍與否數據差不多 → 不再花時間對節拍，寧可把時間拿去挑音效（與 </t>
    </r>
    <r>
      <rPr>
        <sz val="10"/>
        <color rgb="FF0000FF"/>
        <rFont val="Arial"/>
        <family val="0"/>
        <charset val="1"/>
      </rPr>
      <t xml:space="preserve">P01 </t>
    </r>
    <r>
      <rPr>
        <sz val="10"/>
        <color rgb="FF0000FF"/>
        <rFont val="Noto Sans CJK SC"/>
        <family val="2"/>
      </rPr>
      <t xml:space="preserve">相反）</t>
    </r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</si>
  <si>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測試＋結論＋時間重分配；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只有結論</t>
    </r>
  </si>
  <si>
    <t xml:space="preserve">P02-06</t>
  </si>
  <si>
    <t xml:space="preserve">E4</t>
  </si>
  <si>
    <t xml:space="preserve">我剪的都是產品片，觀眾看的是東西，不是節奏</t>
  </si>
  <si>
    <t xml:space="preserve">受訪者以影片類型（產品片）解釋自己與他人對節拍看法的差異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</si>
  <si>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條件化的解釋；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只寫不重視節拍</t>
    </r>
  </si>
  <si>
    <t xml:space="preserve">P02-07</t>
  </si>
  <si>
    <t xml:space="preserve">我很想要一個東西可以幫我記得我哪一支片用過哪一首歌</t>
  </si>
  <si>
    <t xml:space="preserve">想要能記錄每支影片用過哪首歌的工具；現在靠資料夾命名，命名亂掉就找不到，曾花一小時無償翻找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</si>
  <si>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需求＋現況＋代價；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只有需求</t>
    </r>
  </si>
  <si>
    <t xml:space="preserve">P02-08</t>
  </si>
  <si>
    <t xml:space="preserve">好，這跟我們訪的另外一位講的不太一樣。</t>
  </si>
  <si>
    <t xml:space="preserve">訪員的比較句，不應作為主句</t>
  </si>
  <si>
    <t xml:space="preserve">P03-01</t>
  </si>
  <si>
    <r>
      <rPr>
        <sz val="10"/>
        <color rgb="FF0000FF"/>
        <rFont val="Arial"/>
        <family val="0"/>
        <charset val="1"/>
      </rPr>
      <t xml:space="preserve">P03_</t>
    </r>
    <r>
      <rPr>
        <sz val="10"/>
        <color rgb="FF0000FF"/>
        <rFont val="Noto Sans CJK SC"/>
        <family val="2"/>
      </rPr>
      <t xml:space="preserve">學生創作者</t>
    </r>
    <r>
      <rPr>
        <sz val="10"/>
        <color rgb="FF0000FF"/>
        <rFont val="Arial"/>
        <family val="0"/>
        <charset val="1"/>
      </rPr>
      <t xml:space="preserve">.txt</t>
    </r>
  </si>
  <si>
    <t xml:space="preserve">我一開始超堅持的，我一定要用我自己找的歌</t>
  </si>
  <si>
    <t xml:space="preserve">從堅持自己找小眾歌（配樂＝風格）轉變為「能過審就好」隨便選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</si>
  <si>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前後對比＋轉變；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只有現況</t>
    </r>
  </si>
  <si>
    <t xml:space="preserve">P03-02</t>
  </si>
  <si>
    <t xml:space="preserve">結果數據跟我隨便放的那幾支一模一樣</t>
  </si>
  <si>
    <t xml:space="preserve">花兩三小時找歌的影片數據與隨便放的一樣 → 覺得徒勞而放棄堅持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</si>
  <si>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事件＋評價＋改變；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只有事件</t>
    </r>
  </si>
  <si>
    <t xml:space="preserve">P03-03</t>
  </si>
  <si>
    <t xml:space="preserve">我有一次被通知說音樂有問題，要我換掉不然會限流</t>
  </si>
  <si>
    <t xml:space="preserve">被平台通知音樂有問題、不換就限流 → 改用內建音樂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</si>
  <si>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觸發＋行動；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只有觸發</t>
    </r>
  </si>
  <si>
    <t xml:space="preserve">P03-04</t>
  </si>
  <si>
    <t xml:space="preserve">我還是會避開那種很吵的。但我不會再花兩三個小時了，我大概三分鐘就決定</t>
  </si>
  <si>
    <t xml:space="preserve">現在仍會避開很吵的音樂，但決定時間從兩三小時縮到三分鐘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</si>
  <si>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界線＋時間變化；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只有其一</t>
    </r>
  </si>
  <si>
    <t xml:space="preserve">P03-05</t>
  </si>
  <si>
    <t xml:space="preserve">完全不對。我覺得那是浪費時間</t>
  </si>
  <si>
    <r>
      <rPr>
        <sz val="10"/>
        <color rgb="FF0000FF"/>
        <rFont val="Noto Sans CJK SC"/>
        <family val="2"/>
      </rPr>
      <t xml:space="preserve">完全不對節拍：認為觀眾停下來的原因是畫面不是節奏，且課業繁重沒有時間重剪（與 </t>
    </r>
    <r>
      <rPr>
        <sz val="10"/>
        <color rgb="FF0000FF"/>
        <rFont val="Arial"/>
        <family val="0"/>
        <charset val="1"/>
      </rPr>
      <t xml:space="preserve">P01 </t>
    </r>
    <r>
      <rPr>
        <sz val="10"/>
        <color rgb="FF0000FF"/>
        <rFont val="Noto Sans CJK SC"/>
        <family val="2"/>
      </rPr>
      <t xml:space="preserve">相反）</t>
    </r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</si>
  <si>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立場＋理由（觀眾／時間）；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只有立場</t>
    </r>
  </si>
  <si>
    <t xml:space="preserve">P03-06</t>
  </si>
  <si>
    <t xml:space="preserve">我覺得音效比較像調味料，加一點提味，加多了就變成蓋過主菜</t>
  </si>
  <si>
    <t xml:space="preserve">音效像調味料：少量提味，加多會蓋過主體，因此很少加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</si>
  <si>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比喻＋做法；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只有比喻</t>
    </r>
  </si>
  <si>
    <t xml:space="preserve">P03-07</t>
  </si>
  <si>
    <t xml:space="preserve">我拍空教室，我加了走廊遠遠的腳步聲，看起來就不像廢墟了</t>
  </si>
  <si>
    <t xml:space="preserve">畫面安靜想讓場景是活的 → 加走廊腳步聲 → 留言「有種放學的感覺」，受訪者滿意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</si>
  <si>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情境＋行動＋結果；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缺其一</t>
    </r>
  </si>
  <si>
    <t xml:space="preserve">P03-08</t>
  </si>
  <si>
    <t xml:space="preserve">那個規則對我來說很不透明，我每次都是出事了才知道不能用</t>
  </si>
  <si>
    <t xml:space="preserve">最卡的是不知道能用什麼：平台規則不透明，總是出事才知道</t>
  </si>
  <si>
    <r>
      <rPr>
        <sz val="10"/>
        <color rgb="FF0000FF"/>
        <rFont val="Arial"/>
        <family val="0"/>
        <charset val="1"/>
      </rPr>
      <t xml:space="preserve">1 = </t>
    </r>
    <r>
      <rPr>
        <sz val="10"/>
        <color rgb="FF0000FF"/>
        <rFont val="Noto Sans CJK SC"/>
        <family val="2"/>
      </rPr>
      <t xml:space="preserve">阻礙＋機制描述；</t>
    </r>
    <r>
      <rPr>
        <sz val="10"/>
        <color rgb="FF0000FF"/>
        <rFont val="Arial"/>
        <family val="0"/>
        <charset val="1"/>
      </rPr>
      <t xml:space="preserve">0.5 = </t>
    </r>
    <r>
      <rPr>
        <sz val="10"/>
        <color rgb="FF0000FF"/>
        <rFont val="Noto Sans CJK SC"/>
        <family val="2"/>
      </rPr>
      <t xml:space="preserve">只寫不透明</t>
    </r>
  </si>
  <si>
    <t xml:space="preserve">P03-09</t>
  </si>
  <si>
    <t xml:space="preserve">我是學生，就是課餘拍</t>
  </si>
  <si>
    <r>
      <rPr>
        <sz val="10"/>
        <color rgb="FF0000FF"/>
        <rFont val="Noto Sans CJK SC"/>
        <family val="2"/>
      </rPr>
      <t xml:space="preserve">不應產生 </t>
    </r>
    <r>
      <rPr>
        <sz val="10"/>
        <color rgb="FF0000FF"/>
        <rFont val="Arial"/>
        <family val="0"/>
        <charset val="1"/>
      </rPr>
      <t xml:space="preserve">code</t>
    </r>
    <r>
      <rPr>
        <sz val="10"/>
        <color rgb="FF0000FF"/>
        <rFont val="Noto Sans CJK SC"/>
        <family val="2"/>
      </rPr>
      <t xml:space="preserve">（背景敘述）</t>
    </r>
  </si>
  <si>
    <r>
      <rPr>
        <i val="true"/>
        <sz val="9"/>
        <color rgb="FF595959"/>
        <rFont val="Noto Sans CJK SC"/>
        <family val="2"/>
      </rPr>
      <t xml:space="preserve">行號為概略值（以「訪員：」開頭的第一行為第 </t>
    </r>
    <r>
      <rPr>
        <i val="true"/>
        <sz val="9"/>
        <color rgb="FF595959"/>
        <rFont val="Arial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行），請在凍結逐字稿後核對。新增逐字稿的埋點由 </t>
    </r>
    <r>
      <rPr>
        <i val="true"/>
        <sz val="9"/>
        <color rgb="FF595959"/>
        <rFont val="Arial"/>
        <family val="0"/>
        <charset val="1"/>
      </rPr>
      <t xml:space="preserve">Prompt A </t>
    </r>
    <r>
      <rPr>
        <i val="true"/>
        <sz val="9"/>
        <color rgb="FF595959"/>
        <rFont val="Noto Sans CJK SC"/>
        <family val="2"/>
      </rPr>
      <t xml:space="preserve">的埋點清單貼入。</t>
    </r>
  </si>
  <si>
    <r>
      <rPr>
        <b val="true"/>
        <sz val="13"/>
        <color rgb="FF1F4E79"/>
        <rFont val="Arial"/>
        <family val="0"/>
        <charset val="1"/>
      </rPr>
      <t xml:space="preserve">B_</t>
    </r>
    <r>
      <rPr>
        <b val="true"/>
        <sz val="13"/>
        <color rgb="FF1F4E79"/>
        <rFont val="Noto Sans CJK SC"/>
        <family val="2"/>
      </rPr>
      <t xml:space="preserve">埋點評分：長格式</t>
    </r>
  </si>
  <si>
    <r>
      <rPr>
        <i val="true"/>
        <sz val="9"/>
        <color rgb="FF595959"/>
        <rFont val="Noto Sans CJK SC"/>
        <family val="2"/>
      </rPr>
      <t xml:space="preserve">每列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一個埋點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一個條件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一次 </t>
    </r>
    <r>
      <rPr>
        <i val="true"/>
        <sz val="9"/>
        <color rgb="FF595959"/>
        <rFont val="Arial"/>
        <family val="0"/>
        <charset val="1"/>
      </rPr>
      <t xml:space="preserve">run</t>
    </r>
    <r>
      <rPr>
        <i val="true"/>
        <sz val="9"/>
        <color rgb="FF595959"/>
        <rFont val="Noto Sans CJK SC"/>
        <family val="2"/>
      </rPr>
      <t xml:space="preserve">。得分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／</t>
    </r>
    <r>
      <rPr>
        <i val="true"/>
        <sz val="9"/>
        <color rgb="FF595959"/>
        <rFont val="Arial"/>
        <family val="0"/>
        <charset val="1"/>
      </rPr>
      <t xml:space="preserve">0.5</t>
    </r>
    <r>
      <rPr>
        <i val="true"/>
        <sz val="9"/>
        <color rgb="FF595959"/>
        <rFont val="Noto Sans CJK SC"/>
        <family val="2"/>
      </rPr>
      <t xml:space="preserve">／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（給分說明見對照表）。</t>
    </r>
    <r>
      <rPr>
        <i val="true"/>
        <sz val="9"/>
        <color rgb="FF595959"/>
        <rFont val="Arial"/>
        <family val="0"/>
        <charset val="1"/>
      </rPr>
      <t xml:space="preserve">seal_eval_collect.py </t>
    </r>
    <r>
      <rPr>
        <i val="true"/>
        <sz val="9"/>
        <color rgb="FF595959"/>
        <rFont val="Noto Sans CJK SC"/>
        <family val="2"/>
      </rPr>
      <t xml:space="preserve">的 </t>
    </r>
    <r>
      <rPr>
        <i val="true"/>
        <sz val="9"/>
        <color rgb="FF595959"/>
        <rFont val="Arial"/>
        <family val="0"/>
        <charset val="1"/>
      </rPr>
      <t xml:space="preserve">planted_autocheck.csv </t>
    </r>
    <r>
      <rPr>
        <i val="true"/>
        <sz val="9"/>
        <color rgb="FF595959"/>
        <rFont val="Noto Sans CJK SC"/>
        <family val="2"/>
      </rPr>
      <t xml:space="preserve">可貼入後由人工修正。</t>
    </r>
  </si>
  <si>
    <r>
      <rPr>
        <b val="true"/>
        <sz val="10"/>
        <rFont val="Noto Sans CJK SC"/>
        <family val="2"/>
      </rPr>
      <t xml:space="preserve">自動比對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命中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未命中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</si>
  <si>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人工得分</t>
    </r>
    <r>
      <rPr>
        <b val="true"/>
        <sz val="10"/>
        <rFont val="Arial"/>
        <family val="0"/>
        <charset val="1"/>
      </rPr>
      <t xml:space="preserve">(1/0.5/0)</t>
    </r>
  </si>
  <si>
    <r>
      <rPr>
        <b val="true"/>
        <sz val="10"/>
        <rFont val="Noto Sans CJK SC"/>
        <family val="2"/>
      </rPr>
      <t xml:space="preserve">對應 </t>
    </r>
    <r>
      <rPr>
        <b val="true"/>
        <sz val="10"/>
        <rFont val="Arial"/>
        <family val="0"/>
        <charset val="1"/>
      </rPr>
      <t xml:space="preserve">code</t>
    </r>
    <r>
      <rPr>
        <b val="true"/>
        <sz val="10"/>
        <rFont val="Noto Sans CJK SC"/>
        <family val="2"/>
      </rPr>
      <t xml:space="preserve">（貼上）</t>
    </r>
  </si>
  <si>
    <t xml:space="preserve">評分者</t>
  </si>
  <si>
    <t xml:space="preserve">命中</t>
  </si>
  <si>
    <t xml:space="preserve">自己發的日常片用平台內建音樂，但接業配或投廣告的影片會購買授權曲，因為曾被靜音</t>
  </si>
  <si>
    <r>
      <rPr>
        <b val="true"/>
        <sz val="13"/>
        <color rgb="FF1F4E79"/>
        <rFont val="Arial"/>
        <family val="0"/>
        <charset val="1"/>
      </rPr>
      <t xml:space="preserve">B_</t>
    </r>
    <r>
      <rPr>
        <b val="true"/>
        <sz val="13"/>
        <color rgb="FF1F4E79"/>
        <rFont val="Noto Sans CJK SC"/>
        <family val="2"/>
      </rPr>
      <t xml:space="preserve">人工評分：每筆 </t>
    </r>
    <r>
      <rPr>
        <b val="true"/>
        <sz val="13"/>
        <color rgb="FF1F4E79"/>
        <rFont val="Arial"/>
        <family val="0"/>
        <charset val="1"/>
      </rPr>
      <t xml:space="preserve">code </t>
    </r>
    <r>
      <rPr>
        <b val="true"/>
        <sz val="13"/>
        <color rgb="FF1F4E79"/>
        <rFont val="Noto Sans CJK SC"/>
        <family val="2"/>
      </rPr>
      <t xml:space="preserve">的盲評</t>
    </r>
  </si>
  <si>
    <r>
      <rPr>
        <i val="true"/>
        <sz val="9"/>
        <color rgb="FF595959"/>
        <rFont val="Noto Sans CJK SC"/>
        <family val="2"/>
      </rPr>
      <t xml:space="preserve">貼入 </t>
    </r>
    <r>
      <rPr>
        <i val="true"/>
        <sz val="9"/>
        <color rgb="FF595959"/>
        <rFont val="Arial"/>
        <family val="0"/>
        <charset val="1"/>
      </rPr>
      <t xml:space="preserve">seal_eval_collect.py </t>
    </r>
    <r>
      <rPr>
        <i val="true"/>
        <sz val="9"/>
        <color rgb="FF595959"/>
        <rFont val="Noto Sans CJK SC"/>
        <family val="2"/>
      </rPr>
      <t xml:space="preserve">的 </t>
    </r>
    <r>
      <rPr>
        <i val="true"/>
        <sz val="9"/>
        <color rgb="FF595959"/>
        <rFont val="Arial"/>
        <family val="0"/>
        <charset val="1"/>
      </rPr>
      <t xml:space="preserve">codes_long.csv</t>
    </r>
    <r>
      <rPr>
        <i val="true"/>
        <sz val="9"/>
        <color rgb="FF595959"/>
        <rFont val="Noto Sans CJK SC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A–J </t>
    </r>
    <r>
      <rPr>
        <i val="true"/>
        <sz val="9"/>
        <color rgb="FF595959"/>
        <rFont val="Noto Sans CJK SC"/>
        <family val="2"/>
      </rPr>
      <t xml:space="preserve">欄），盲評時隱藏 </t>
    </r>
    <r>
      <rPr>
        <i val="true"/>
        <sz val="9"/>
        <color rgb="FF595959"/>
        <rFont val="Arial"/>
        <family val="0"/>
        <charset val="1"/>
      </rPr>
      <t xml:space="preserve">A </t>
    </r>
    <r>
      <rPr>
        <i val="true"/>
        <sz val="9"/>
        <color rgb="FF595959"/>
        <rFont val="Noto Sans CJK SC"/>
        <family val="2"/>
      </rPr>
      <t xml:space="preserve">欄（條件）。</t>
    </r>
  </si>
  <si>
    <t xml:space="preserve">序號</t>
  </si>
  <si>
    <t xml:space="preserve">segment_id</t>
  </si>
  <si>
    <t xml:space="preserve">speaker</t>
  </si>
  <si>
    <t xml:space="preserve">evidence_quote</t>
  </si>
  <si>
    <t xml:space="preserve">code</t>
  </si>
  <si>
    <t xml:space="preserve">why_this_code</t>
  </si>
  <si>
    <t xml:space="preserve">analytic_score</t>
  </si>
  <si>
    <r>
      <rPr>
        <b val="true"/>
        <sz val="10"/>
        <rFont val="Noto Sans CJK SC"/>
        <family val="2"/>
      </rPr>
      <t xml:space="preserve">參照對應</t>
    </r>
    <r>
      <rPr>
        <b val="true"/>
        <sz val="10"/>
        <rFont val="Arial"/>
        <family val="0"/>
        <charset val="1"/>
      </rPr>
      <t xml:space="preserve">(1/0)</t>
    </r>
  </si>
  <si>
    <r>
      <rPr>
        <b val="true"/>
        <sz val="10"/>
        <rFont val="Noto Sans CJK SC"/>
        <family val="2"/>
      </rPr>
      <t xml:space="preserve">對應的參照 </t>
    </r>
    <r>
      <rPr>
        <b val="true"/>
        <sz val="10"/>
        <rFont val="Arial"/>
        <family val="0"/>
        <charset val="1"/>
      </rPr>
      <t xml:space="preserve">code ID</t>
    </r>
  </si>
  <si>
    <r>
      <rPr>
        <b val="true"/>
        <sz val="10"/>
        <rFont val="Noto Sans CJK SC"/>
        <family val="2"/>
      </rPr>
      <t xml:space="preserve">語證支持</t>
    </r>
    <r>
      <rPr>
        <b val="true"/>
        <sz val="10"/>
        <rFont val="Arial"/>
        <family val="0"/>
        <charset val="1"/>
      </rPr>
      <t xml:space="preserve">(2/1/0)</t>
    </r>
  </si>
  <si>
    <r>
      <rPr>
        <b val="true"/>
        <sz val="10"/>
        <rFont val="Noto Sans CJK SC"/>
        <family val="2"/>
      </rPr>
      <t xml:space="preserve">過度推論</t>
    </r>
    <r>
      <rPr>
        <b val="true"/>
        <sz val="10"/>
        <rFont val="Arial"/>
        <family val="0"/>
        <charset val="1"/>
      </rPr>
      <t xml:space="preserve">(1/0)</t>
    </r>
  </si>
  <si>
    <r>
      <rPr>
        <b val="true"/>
        <sz val="10"/>
        <rFont val="Noto Sans CJK SC"/>
        <family val="2"/>
      </rPr>
      <t xml:space="preserve">排除違反</t>
    </r>
    <r>
      <rPr>
        <b val="true"/>
        <sz val="10"/>
        <rFont val="Arial"/>
        <family val="0"/>
        <charset val="1"/>
      </rPr>
      <t xml:space="preserve">(1/0)</t>
    </r>
  </si>
  <si>
    <t xml:space="preserve">S0004</t>
  </si>
  <si>
    <t xml:space="preserve">受訪者</t>
  </si>
  <si>
    <t xml:space="preserve">自己發的日常片用內建音樂，接業配或投廣告才買授權曲</t>
  </si>
  <si>
    <t xml:space="preserve">受訪者明確區分兩種情境的做法…</t>
  </si>
  <si>
    <t xml:space="preserve">R-P01-02</t>
  </si>
  <si>
    <r>
      <rPr>
        <b val="true"/>
        <sz val="13"/>
        <color rgb="FF1F4E79"/>
        <rFont val="Arial"/>
        <family val="0"/>
        <charset val="1"/>
      </rPr>
      <t xml:space="preserve">B_</t>
    </r>
    <r>
      <rPr>
        <b val="true"/>
        <sz val="13"/>
        <color rgb="FF1F4E79"/>
        <rFont val="Noto Sans CJK SC"/>
        <family val="2"/>
      </rPr>
      <t xml:space="preserve">研究方向評分：尾頁「海豹覺得的研究方向」</t>
    </r>
  </si>
  <si>
    <t xml:space="preserve">方向序號</t>
  </si>
  <si>
    <t xml:space="preserve">方向名稱</t>
  </si>
  <si>
    <r>
      <rPr>
        <b val="true"/>
        <sz val="10"/>
        <rFont val="Noto Sans CJK SC"/>
        <family val="2"/>
      </rPr>
      <t xml:space="preserve">有效</t>
    </r>
    <r>
      <rPr>
        <b val="true"/>
        <sz val="10"/>
        <rFont val="Arial"/>
        <family val="0"/>
        <charset val="1"/>
      </rPr>
      <t xml:space="preserve">(1/0)</t>
    </r>
  </si>
  <si>
    <r>
      <rPr>
        <b val="true"/>
        <sz val="10"/>
        <rFont val="Noto Sans CJK SC"/>
        <family val="2"/>
      </rPr>
      <t xml:space="preserve">可信度</t>
    </r>
    <r>
      <rPr>
        <b val="true"/>
        <sz val="10"/>
        <rFont val="Arial"/>
        <family val="0"/>
        <charset val="1"/>
      </rPr>
      <t xml:space="preserve">(1–5)</t>
    </r>
  </si>
  <si>
    <r>
      <rPr>
        <b val="true"/>
        <sz val="10"/>
        <rFont val="Noto Sans CJK SC"/>
        <family val="2"/>
      </rPr>
      <t xml:space="preserve">語證扣合</t>
    </r>
    <r>
      <rPr>
        <b val="true"/>
        <sz val="10"/>
        <rFont val="Arial"/>
        <family val="0"/>
        <charset val="1"/>
      </rPr>
      <t xml:space="preserve">(1–5)</t>
    </r>
  </si>
  <si>
    <r>
      <rPr>
        <b val="true"/>
        <sz val="10"/>
        <rFont val="Noto Sans CJK SC"/>
        <family val="2"/>
      </rPr>
      <t xml:space="preserve">引用 </t>
    </r>
    <r>
      <rPr>
        <b val="true"/>
        <sz val="10"/>
        <rFont val="Arial"/>
        <family val="0"/>
        <charset val="1"/>
      </rPr>
      <t xml:space="preserve">code </t>
    </r>
    <r>
      <rPr>
        <b val="true"/>
        <sz val="10"/>
        <rFont val="Noto Sans CJK SC"/>
        <family val="2"/>
      </rPr>
      <t xml:space="preserve">數</t>
    </r>
  </si>
  <si>
    <t xml:space="preserve">平台處罰事件如何改寫創作者的風險策略</t>
  </si>
  <si>
    <r>
      <rPr>
        <b val="true"/>
        <sz val="13"/>
        <color rgb="FF1F4E79"/>
        <rFont val="Arial"/>
        <family val="0"/>
        <charset val="1"/>
      </rPr>
      <t xml:space="preserve">B_</t>
    </r>
    <r>
      <rPr>
        <b val="true"/>
        <sz val="13"/>
        <color rgb="FF1F4E79"/>
        <rFont val="Noto Sans CJK SC"/>
        <family val="2"/>
      </rPr>
      <t xml:space="preserve">盲評代碼：條件 ↔ 盲評代碼</t>
    </r>
  </si>
  <si>
    <r>
      <rPr>
        <i val="true"/>
        <sz val="9"/>
        <color rgb="FF595959"/>
        <rFont val="Noto Sans CJK SC"/>
        <family val="2"/>
      </rPr>
      <t xml:space="preserve">盲評期間請隱藏此分頁與 </t>
    </r>
    <r>
      <rPr>
        <i val="true"/>
        <sz val="9"/>
        <color rgb="FF595959"/>
        <rFont val="Arial"/>
        <family val="0"/>
        <charset val="1"/>
      </rPr>
      <t xml:space="preserve">B_</t>
    </r>
    <r>
      <rPr>
        <i val="true"/>
        <sz val="9"/>
        <color rgb="FF595959"/>
        <rFont val="Noto Sans CJK SC"/>
        <family val="2"/>
      </rPr>
      <t xml:space="preserve">人工評分 的條件欄。</t>
    </r>
  </si>
  <si>
    <t xml:space="preserve">盲評代碼</t>
  </si>
  <si>
    <r>
      <rPr>
        <b val="true"/>
        <sz val="10"/>
        <rFont val="Noto Sans CJK SC"/>
        <family val="2"/>
      </rPr>
      <t xml:space="preserve">資料生成器（不得等於 </t>
    </r>
    <r>
      <rPr>
        <b val="true"/>
        <sz val="10"/>
        <rFont val="Arial"/>
        <family val="0"/>
        <charset val="1"/>
      </rPr>
      <t xml:space="preserve">C1/C2</t>
    </r>
    <r>
      <rPr>
        <b val="true"/>
        <sz val="10"/>
        <rFont val="Noto Sans CJK SC"/>
        <family val="2"/>
      </rPr>
      <t xml:space="preserve">）</t>
    </r>
  </si>
  <si>
    <t xml:space="preserve">L1</t>
  </si>
  <si>
    <t xml:space="preserve">qwen3:4b</t>
  </si>
  <si>
    <t xml:space="preserve">M-δ</t>
  </si>
  <si>
    <t xml:space="preserve">（填入生成合成資料的聊天機器人與版本）</t>
  </si>
  <si>
    <t xml:space="preserve">M-α</t>
  </si>
  <si>
    <t xml:space="preserve">L3</t>
  </si>
  <si>
    <t xml:space="preserve">qwen3:14b</t>
  </si>
  <si>
    <t xml:space="preserve">M-ζ</t>
  </si>
  <si>
    <t xml:space="preserve">L4</t>
  </si>
  <si>
    <t xml:space="preserve">qwen3:32b</t>
  </si>
  <si>
    <t xml:space="preserve">M-β</t>
  </si>
  <si>
    <t xml:space="preserve">C1</t>
  </si>
  <si>
    <r>
      <rPr>
        <sz val="10"/>
        <color rgb="FF0000FF"/>
        <rFont val="Noto Sans CJK SC"/>
        <family val="2"/>
      </rPr>
      <t xml:space="preserve">（雲端 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）</t>
    </r>
  </si>
  <si>
    <t xml:space="preserve">M-γ</t>
  </si>
  <si>
    <t xml:space="preserve">C2</t>
  </si>
  <si>
    <r>
      <rPr>
        <sz val="10"/>
        <color rgb="FF0000FF"/>
        <rFont val="Noto Sans CJK SC"/>
        <family val="2"/>
      </rPr>
      <t xml:space="preserve">（雲端 </t>
    </r>
    <r>
      <rPr>
        <sz val="10"/>
        <color rgb="FF0000FF"/>
        <rFont val="Arial"/>
        <family val="0"/>
        <charset val="1"/>
      </rPr>
      <t xml:space="preserve">B</t>
    </r>
    <r>
      <rPr>
        <sz val="10"/>
        <color rgb="FF0000FF"/>
        <rFont val="Noto Sans CJK SC"/>
        <family val="2"/>
      </rPr>
      <t xml:space="preserve">）</t>
    </r>
  </si>
  <si>
    <t xml:space="preserve">M-ε</t>
  </si>
  <si>
    <r>
      <rPr>
        <b val="true"/>
        <sz val="13"/>
        <color rgb="FF1F4E79"/>
        <rFont val="Arial"/>
        <family val="0"/>
        <charset val="1"/>
      </rPr>
      <t xml:space="preserve">STT_</t>
    </r>
    <r>
      <rPr>
        <b val="true"/>
        <sz val="13"/>
        <color rgb="FF1F4E79"/>
        <rFont val="Noto Sans CJK SC"/>
        <family val="2"/>
      </rPr>
      <t xml:space="preserve">去識別化檢核：</t>
    </r>
    <r>
      <rPr>
        <b val="true"/>
        <sz val="13"/>
        <color rgb="FF1F4E79"/>
        <rFont val="Arial"/>
        <family val="0"/>
        <charset val="1"/>
      </rPr>
      <t xml:space="preserve">PII </t>
    </r>
    <r>
      <rPr>
        <b val="true"/>
        <sz val="13"/>
        <color rgb="FF1F4E79"/>
        <rFont val="Noto Sans CJK SC"/>
        <family val="2"/>
      </rPr>
      <t xml:space="preserve">對照表與結果</t>
    </r>
  </si>
  <si>
    <r>
      <rPr>
        <i val="true"/>
        <sz val="9"/>
        <color rgb="FF595959"/>
        <rFont val="Noto Sans CJK SC"/>
        <family val="2"/>
      </rPr>
      <t xml:space="preserve">每個埋點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每個條件一列。結果：遮蔽（正確替換）／洩漏（原文仍在）／過度（不該遮卻遮）。陷阱項預期輸出為「保留」。</t>
    </r>
  </si>
  <si>
    <t xml:space="preserve">音檔</t>
  </si>
  <si>
    <t xml:space="preserve">條件</t>
  </si>
  <si>
    <t xml:space="preserve">原文</t>
  </si>
  <si>
    <t xml:space="preserve">預期輸出</t>
  </si>
  <si>
    <t xml:space="preserve">出現行</t>
  </si>
  <si>
    <t xml:space="preserve">結果</t>
  </si>
  <si>
    <r>
      <rPr>
        <b val="true"/>
        <sz val="10"/>
        <rFont val="Noto Sans CJK SC"/>
        <family val="2"/>
      </rPr>
      <t xml:space="preserve">代稱是否一致</t>
    </r>
    <r>
      <rPr>
        <b val="true"/>
        <sz val="10"/>
        <rFont val="Arial"/>
        <family val="0"/>
        <charset val="1"/>
      </rPr>
      <t xml:space="preserve">(Y/N/–)</t>
    </r>
  </si>
  <si>
    <r>
      <rPr>
        <sz val="10"/>
        <color rgb="FF0000FF"/>
        <rFont val="Noto Sans CJK SC"/>
        <family val="2"/>
      </rPr>
      <t xml:space="preserve">測試音檔</t>
    </r>
    <r>
      <rPr>
        <sz val="10"/>
        <color rgb="FF0000FF"/>
        <rFont val="Arial"/>
        <family val="0"/>
        <charset val="1"/>
      </rPr>
      <t xml:space="preserve">_01</t>
    </r>
  </si>
  <si>
    <t xml:space="preserve">large-v3+qwen3:8b</t>
  </si>
  <si>
    <t xml:space="preserve">人名</t>
  </si>
  <si>
    <t xml:space="preserve">林佳蓉（阿蓉）</t>
  </si>
  <si>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人物</t>
    </r>
    <r>
      <rPr>
        <sz val="10"/>
        <color rgb="FF0000FF"/>
        <rFont val="Arial"/>
        <family val="0"/>
        <charset val="1"/>
      </rPr>
      <t xml:space="preserve">1]</t>
    </r>
  </si>
  <si>
    <t xml:space="preserve">3, 9, 15</t>
  </si>
  <si>
    <t xml:space="preserve">遮蔽</t>
  </si>
  <si>
    <r>
      <rPr>
        <sz val="10"/>
        <color rgb="FF0000FF"/>
        <rFont val="Noto Sans CJK SC"/>
        <family val="2"/>
      </rPr>
      <t xml:space="preserve">手機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口語</t>
    </r>
    <r>
      <rPr>
        <sz val="10"/>
        <color rgb="FF0000FF"/>
        <rFont val="Arial"/>
        <family val="0"/>
        <charset val="1"/>
      </rPr>
      <t xml:space="preserve">)</t>
    </r>
  </si>
  <si>
    <t xml:space="preserve">零九一二三四五六七八</t>
  </si>
  <si>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手機號碼</t>
    </r>
    <r>
      <rPr>
        <sz val="10"/>
        <color rgb="FF0000FF"/>
        <rFont val="Arial"/>
        <family val="0"/>
        <charset val="1"/>
      </rPr>
      <t xml:space="preserve">]</t>
    </r>
  </si>
  <si>
    <t xml:space="preserve">7</t>
  </si>
  <si>
    <t xml:space="preserve">洩漏</t>
  </si>
  <si>
    <t xml:space="preserve">–</t>
  </si>
  <si>
    <r>
      <rPr>
        <sz val="10"/>
        <color rgb="FF0000FF"/>
        <rFont val="Noto Sans CJK SC"/>
        <family val="2"/>
      </rPr>
      <t xml:space="preserve">口語中文數字未被 </t>
    </r>
    <r>
      <rPr>
        <sz val="10"/>
        <color rgb="FF0000FF"/>
        <rFont val="Arial"/>
        <family val="0"/>
        <charset val="1"/>
      </rPr>
      <t xml:space="preserve">regex </t>
    </r>
    <r>
      <rPr>
        <sz val="10"/>
        <color rgb="FF0000FF"/>
        <rFont val="Noto Sans CJK SC"/>
        <family val="2"/>
      </rPr>
      <t xml:space="preserve">捕捉</t>
    </r>
  </si>
  <si>
    <r>
      <rPr>
        <sz val="10"/>
        <color rgb="FF0000FF"/>
        <rFont val="Noto Sans CJK SC"/>
        <family val="2"/>
      </rPr>
      <t xml:space="preserve">陷阱</t>
    </r>
    <r>
      <rPr>
        <sz val="10"/>
        <color rgb="FF0000FF"/>
        <rFont val="Arial"/>
        <family val="0"/>
        <charset val="1"/>
      </rPr>
      <t xml:space="preserve">-</t>
    </r>
    <r>
      <rPr>
        <sz val="10"/>
        <color rgb="FF0000FF"/>
        <rFont val="Noto Sans CJK SC"/>
        <family val="2"/>
      </rPr>
      <t xml:space="preserve">年份</t>
    </r>
  </si>
  <si>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</t>
    </r>
  </si>
  <si>
    <t xml:space="preserve">保留</t>
  </si>
  <si>
    <t xml:space="preserve">11</t>
  </si>
  <si>
    <t xml:space="preserve">過度遮蔽</t>
  </si>
  <si>
    <r>
      <rPr>
        <b val="true"/>
        <sz val="13"/>
        <color rgb="FF1F4E79"/>
        <rFont val="Arial"/>
        <family val="0"/>
        <charset val="1"/>
      </rPr>
      <t xml:space="preserve">STT_</t>
    </r>
    <r>
      <rPr>
        <b val="true"/>
        <sz val="13"/>
        <color rgb="FF1F4E79"/>
        <rFont val="Noto Sans CJK SC"/>
        <family val="2"/>
      </rPr>
      <t xml:space="preserve">轉錄品質</t>
    </r>
  </si>
  <si>
    <r>
      <rPr>
        <i val="true"/>
        <sz val="9"/>
        <color rgb="FF595959"/>
        <rFont val="Arial"/>
        <family val="0"/>
        <charset val="1"/>
      </rPr>
      <t xml:space="preserve">CER </t>
    </r>
    <r>
      <rPr>
        <i val="true"/>
        <sz val="9"/>
        <color rgb="FF595959"/>
        <rFont val="Noto Sans CJK SC"/>
        <family val="2"/>
      </rPr>
      <t xml:space="preserve">以金標逐字稿（錄音後人工修正的腳本）為參照，去標點、全半形正規化後計算（</t>
    </r>
    <r>
      <rPr>
        <i val="true"/>
        <sz val="9"/>
        <color rgb="FF595959"/>
        <rFont val="Arial"/>
        <family val="0"/>
        <charset val="1"/>
      </rPr>
      <t xml:space="preserve">jiwer.cer</t>
    </r>
    <r>
      <rPr>
        <i val="true"/>
        <sz val="9"/>
        <color rgb="FF595959"/>
        <rFont val="Noto Sans CJK SC"/>
        <family val="2"/>
      </rPr>
      <t xml:space="preserve">）。</t>
    </r>
  </si>
  <si>
    <t xml:space="preserve">環境</t>
  </si>
  <si>
    <t xml:space="preserve">朗讀組</t>
  </si>
  <si>
    <t xml:space="preserve">CER</t>
  </si>
  <si>
    <t xml:space="preserve">講者歸屬正確率</t>
  </si>
  <si>
    <t xml:space="preserve">幻覺攔截／重試次數</t>
  </si>
  <si>
    <t xml:space="preserve">潤稿改動句比例</t>
  </si>
  <si>
    <r>
      <rPr>
        <b val="true"/>
        <sz val="10"/>
        <rFont val="Noto Sans CJK SC"/>
        <family val="2"/>
      </rPr>
      <t xml:space="preserve">抽樣意義改變句數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抽樣數</t>
    </r>
  </si>
  <si>
    <r>
      <rPr>
        <b val="true"/>
        <sz val="10"/>
        <rFont val="Noto Sans CJK SC"/>
        <family val="2"/>
      </rPr>
      <t xml:space="preserve">處理時間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</si>
  <si>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t xml:space="preserve">large-v3</t>
  </si>
  <si>
    <t xml:space="preserve">quiet</t>
  </si>
  <si>
    <t xml:space="preserve">g1</t>
  </si>
  <si>
    <t xml:space="preserve">1/20</t>
  </si>
  <si>
    <t xml:space="preserve">彙總（自動）</t>
  </si>
  <si>
    <t xml:space="preserve">所有公式參考各分頁；範例列會被算進去，正式使用前請刪除範例列。</t>
  </si>
  <si>
    <r>
      <rPr>
        <b val="true"/>
        <sz val="11"/>
        <color rgb="FF1F4E79"/>
        <rFont val="Arial"/>
        <family val="0"/>
        <charset val="1"/>
      </rPr>
      <t xml:space="preserve">Part A </t>
    </r>
    <r>
      <rPr>
        <b val="true"/>
        <sz val="11"/>
        <color rgb="FF1F4E79"/>
        <rFont val="Noto Sans CJK SC"/>
        <family val="2"/>
      </rPr>
      <t xml:space="preserve">易用性</t>
    </r>
  </si>
  <si>
    <t xml:space="preserve">指標</t>
  </si>
  <si>
    <t xml:space="preserve">值</t>
  </si>
  <si>
    <t xml:space="preserve">說明</t>
  </si>
  <si>
    <r>
      <rPr>
        <sz val="10"/>
        <color rgb="FF000000"/>
        <rFont val="Arial"/>
        <family val="0"/>
        <charset val="1"/>
      </rPr>
      <t xml:space="preserve">SUS </t>
    </r>
    <r>
      <rPr>
        <sz val="10"/>
        <color rgb="FF000000"/>
        <rFont val="Noto Sans CJK SC"/>
        <family val="2"/>
      </rPr>
      <t xml:space="preserve">平均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</si>
  <si>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</si>
  <si>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SUS 95% CI </t>
    </r>
    <r>
      <rPr>
        <sz val="10"/>
        <color rgb="FF000000"/>
        <rFont val="Noto Sans CJK SC"/>
        <family val="2"/>
      </rPr>
      <t xml:space="preserve">下界／上界</t>
    </r>
  </si>
  <si>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分布</t>
    </r>
  </si>
  <si>
    <t xml:space="preserve">受試者數</t>
  </si>
  <si>
    <r>
      <rPr>
        <sz val="10"/>
        <color rgb="FF000000"/>
        <rFont val="Arial"/>
        <family val="0"/>
        <charset val="1"/>
      </rPr>
      <t xml:space="preserve">T0 </t>
    </r>
    <r>
      <rPr>
        <sz val="10"/>
        <color rgb="FF000000"/>
        <rFont val="Noto Sans CJK SC"/>
        <family val="2"/>
      </rPr>
      <t xml:space="preserve">平均成功分數</t>
    </r>
  </si>
  <si>
    <r>
      <rPr>
        <sz val="10"/>
        <color rgb="FF000000"/>
        <rFont val="Arial"/>
        <family val="0"/>
        <charset val="1"/>
      </rPr>
      <t xml:space="preserve">1 = </t>
    </r>
    <r>
      <rPr>
        <sz val="10"/>
        <color rgb="FF000000"/>
        <rFont val="Noto Sans CJK SC"/>
        <family val="2"/>
      </rPr>
      <t xml:space="preserve">獨立完成；</t>
    </r>
    <r>
      <rPr>
        <sz val="10"/>
        <color rgb="FF000000"/>
        <rFont val="Arial"/>
        <family val="0"/>
        <charset val="1"/>
      </rPr>
      <t xml:space="preserve">0.5 = </t>
    </r>
    <r>
      <rPr>
        <sz val="10"/>
        <color rgb="FF000000"/>
        <rFont val="Noto Sans CJK SC"/>
        <family val="2"/>
      </rPr>
      <t xml:space="preserve">需提示；</t>
    </r>
    <r>
      <rPr>
        <sz val="10"/>
        <color rgb="FF000000"/>
        <rFont val="Arial"/>
        <family val="0"/>
        <charset val="1"/>
      </rPr>
      <t xml:space="preserve">0 = </t>
    </r>
    <r>
      <rPr>
        <sz val="10"/>
        <color rgb="FF000000"/>
        <rFont val="Noto Sans CJK SC"/>
        <family val="2"/>
      </rPr>
      <t xml:space="preserve">未完成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</si>
  <si>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平均成功分數</t>
    </r>
  </si>
  <si>
    <r>
      <rPr>
        <sz val="10"/>
        <color rgb="FF000000"/>
        <rFont val="Arial"/>
        <family val="0"/>
        <charset val="1"/>
      </rPr>
      <t xml:space="preserve">T2 </t>
    </r>
    <r>
      <rPr>
        <sz val="10"/>
        <color rgb="FF000000"/>
        <rFont val="Noto Sans CJK SC"/>
        <family val="2"/>
      </rPr>
      <t xml:space="preserve">平均成功分數</t>
    </r>
  </si>
  <si>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SC"/>
        <family val="2"/>
      </rPr>
      <t xml:space="preserve">平均成功分數</t>
    </r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</si>
  <si>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平均成功分數</t>
    </r>
  </si>
  <si>
    <r>
      <rPr>
        <sz val="10"/>
        <color rgb="FF000000"/>
        <rFont val="Arial"/>
        <family val="0"/>
        <charset val="1"/>
      </rPr>
      <t xml:space="preserve">T5 </t>
    </r>
    <r>
      <rPr>
        <sz val="10"/>
        <color rgb="FF000000"/>
        <rFont val="Noto Sans CJK SC"/>
        <family val="2"/>
      </rPr>
      <t xml:space="preserve">平均成功分數</t>
    </r>
  </si>
  <si>
    <r>
      <rPr>
        <sz val="10"/>
        <color rgb="FF000000"/>
        <rFont val="Arial"/>
        <family val="0"/>
        <charset val="1"/>
      </rPr>
      <t xml:space="preserve">T7 </t>
    </r>
    <r>
      <rPr>
        <sz val="10"/>
        <color rgb="FF000000"/>
        <rFont val="Noto Sans CJK SC"/>
        <family val="2"/>
      </rPr>
      <t xml:space="preserve">平均成功分數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</si>
  <si>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主動時間平均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)</t>
    </r>
  </si>
  <si>
    <t xml:space="preserve">中位數與四分位請在分析時另算</t>
  </si>
  <si>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SC"/>
        <family val="2"/>
      </rPr>
      <t xml:space="preserve">主動時間平均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</si>
  <si>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主動時間平均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</si>
  <si>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T5 </t>
    </r>
    <r>
      <rPr>
        <sz val="10"/>
        <color rgb="FF000000"/>
        <rFont val="Noto Sans CJK SC"/>
        <family val="2"/>
      </rPr>
      <t xml:space="preserve">主動時間平均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</si>
  <si>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嚴重度 ≥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事件數</t>
    </r>
  </si>
  <si>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「會回看語證」平均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</si>
  <si>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「知道在本機」平均</t>
    </r>
  </si>
  <si>
    <r>
      <rPr>
        <b val="true"/>
        <sz val="11"/>
        <color rgb="FF1F4E79"/>
        <rFont val="Arial"/>
        <family val="0"/>
        <charset val="1"/>
      </rPr>
      <t xml:space="preserve">Part C </t>
    </r>
    <r>
      <rPr>
        <b val="true"/>
        <sz val="11"/>
        <color rgb="FF1F4E79"/>
        <rFont val="Noto Sans CJK SC"/>
        <family val="2"/>
      </rPr>
      <t xml:space="preserve">驗證行為</t>
    </r>
  </si>
  <si>
    <r>
      <rPr>
        <b val="true"/>
        <sz val="10"/>
        <rFont val="Noto Sans CJK SC"/>
        <family val="2"/>
      </rPr>
      <t xml:space="preserve">版面 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（顯示理由）</t>
    </r>
  </si>
  <si>
    <r>
      <rPr>
        <b val="true"/>
        <sz val="10"/>
        <rFont val="Noto Sans CJK SC"/>
        <family val="2"/>
      </rPr>
      <t xml:space="preserve">版面 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（隱藏理由）</t>
    </r>
  </si>
  <si>
    <r>
      <rPr>
        <sz val="10"/>
        <color rgb="FF000000"/>
        <rFont val="Noto Sans CJK SC"/>
        <family val="2"/>
      </rPr>
      <t xml:space="preserve">問題 </t>
    </r>
    <r>
      <rPr>
        <sz val="10"/>
        <color rgb="FF000000"/>
        <rFont val="Arial"/>
        <family val="0"/>
        <charset val="1"/>
      </rPr>
      <t xml:space="preserve">code </t>
    </r>
    <r>
      <rPr>
        <sz val="10"/>
        <color rgb="FF000000"/>
        <rFont val="Noto Sans CJK SC"/>
        <family val="2"/>
      </rPr>
      <t xml:space="preserve">偵測率</t>
    </r>
  </si>
  <si>
    <r>
      <rPr>
        <sz val="10"/>
        <color rgb="FF000000"/>
        <rFont val="Noto Sans CJK SC"/>
        <family val="2"/>
      </rPr>
      <t xml:space="preserve">誤拒率（正常 </t>
    </r>
    <r>
      <rPr>
        <sz val="10"/>
        <color rgb="FF000000"/>
        <rFont val="Arial"/>
        <family val="0"/>
        <charset val="1"/>
      </rPr>
      <t xml:space="preserve">code </t>
    </r>
    <r>
      <rPr>
        <sz val="10"/>
        <color rgb="FF000000"/>
        <rFont val="Noto Sans CJK SC"/>
        <family val="2"/>
      </rPr>
      <t xml:space="preserve">被拒絕）</t>
    </r>
  </si>
  <si>
    <r>
      <rPr>
        <sz val="10"/>
        <color rgb="FF000000"/>
        <rFont val="Noto Sans CJK SC"/>
        <family val="2"/>
      </rPr>
      <t xml:space="preserve">平均信心</t>
    </r>
    <r>
      <rPr>
        <sz val="10"/>
        <color rgb="FF000000"/>
        <rFont val="Arial"/>
        <family val="0"/>
        <charset val="1"/>
      </rPr>
      <t xml:space="preserve">(1–7)</t>
    </r>
  </si>
  <si>
    <r>
      <rPr>
        <sz val="10"/>
        <color rgb="FF000000"/>
        <rFont val="Noto Sans CJK SC"/>
        <family val="2"/>
      </rPr>
      <t xml:space="preserve">平均每筆時間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秒</t>
    </r>
    <r>
      <rPr>
        <sz val="10"/>
        <color rgb="FF000000"/>
        <rFont val="Arial"/>
        <family val="0"/>
        <charset val="1"/>
      </rPr>
      <t xml:space="preserve">)</t>
    </r>
  </si>
  <si>
    <t xml:space="preserve">切換完整上下文比例</t>
  </si>
  <si>
    <r>
      <rPr>
        <b val="true"/>
        <sz val="11"/>
        <color rgb="FF1F4E79"/>
        <rFont val="Arial"/>
        <family val="0"/>
        <charset val="1"/>
      </rPr>
      <t xml:space="preserve">Part B </t>
    </r>
    <r>
      <rPr>
        <b val="true"/>
        <sz val="11"/>
        <color rgb="FF1F4E79"/>
        <rFont val="Noto Sans CJK SC"/>
        <family val="2"/>
      </rPr>
      <t xml:space="preserve">效能比較（各條件）</t>
    </r>
  </si>
  <si>
    <t xml:space="preserve">埋點召回率</t>
  </si>
  <si>
    <r>
      <rPr>
        <sz val="10"/>
        <color rgb="FF000000"/>
        <rFont val="Noto Sans CJK SC"/>
        <family val="2"/>
      </rPr>
      <t xml:space="preserve">人工得分平均（含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</si>
  <si>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參照對應率（精確）</t>
  </si>
  <si>
    <r>
      <rPr>
        <sz val="10"/>
        <color rgb="FF000000"/>
        <rFont val="Noto Sans CJK SC"/>
        <family val="2"/>
      </rPr>
      <t xml:space="preserve">與參照 </t>
    </r>
    <r>
      <rPr>
        <sz val="10"/>
        <color rgb="FF000000"/>
        <rFont val="Arial"/>
        <family val="0"/>
        <charset val="1"/>
      </rPr>
      <t xml:space="preserve">codebook </t>
    </r>
    <r>
      <rPr>
        <sz val="10"/>
        <color rgb="FF000000"/>
        <rFont val="Noto Sans CJK SC"/>
        <family val="2"/>
      </rPr>
      <t xml:space="preserve">對上的 </t>
    </r>
    <r>
      <rPr>
        <sz val="10"/>
        <color rgb="FF000000"/>
        <rFont val="Arial"/>
        <family val="0"/>
        <charset val="1"/>
      </rPr>
      <t xml:space="preserve">code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</si>
  <si>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Noto Sans CJK SC"/>
        <family val="2"/>
      </rPr>
      <t xml:space="preserve">語證支持平均</t>
    </r>
    <r>
      <rPr>
        <sz val="10"/>
        <color rgb="FF000000"/>
        <rFont val="Arial"/>
        <family val="0"/>
        <charset val="1"/>
      </rPr>
      <t xml:space="preserve">(0–2)</t>
    </r>
  </si>
  <si>
    <t xml:space="preserve">語證完整支持比例</t>
  </si>
  <si>
    <r>
      <rPr>
        <sz val="10"/>
        <color rgb="FF000000"/>
        <rFont val="Noto Sans CJK SC"/>
        <family val="2"/>
      </rPr>
      <t xml:space="preserve">評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的比例</t>
    </r>
  </si>
  <si>
    <t xml:space="preserve">過度推論率</t>
  </si>
  <si>
    <t xml:space="preserve">排除違反率</t>
  </si>
  <si>
    <t xml:space="preserve">主句為訪員／背景／短回應</t>
  </si>
  <si>
    <r>
      <rPr>
        <sz val="10"/>
        <color rgb="FF000000"/>
        <rFont val="Noto Sans CJK SC"/>
        <family val="2"/>
      </rPr>
      <t xml:space="preserve">研究方向可信度</t>
    </r>
    <r>
      <rPr>
        <sz val="10"/>
        <color rgb="FF000000"/>
        <rFont val="Arial"/>
        <family val="0"/>
        <charset val="1"/>
      </rPr>
      <t xml:space="preserve">(1–5)</t>
    </r>
  </si>
  <si>
    <r>
      <rPr>
        <sz val="10"/>
        <color rgb="FF000000"/>
        <rFont val="Noto Sans CJK SC"/>
        <family val="2"/>
      </rPr>
      <t xml:space="preserve">研究方向語證扣合</t>
    </r>
    <r>
      <rPr>
        <sz val="10"/>
        <color rgb="FF000000"/>
        <rFont val="Arial"/>
        <family val="0"/>
        <charset val="1"/>
      </rPr>
      <t xml:space="preserve">(1–5)</t>
    </r>
  </si>
  <si>
    <r>
      <rPr>
        <sz val="10"/>
        <color rgb="FF000000"/>
        <rFont val="Noto Sans CJK SC"/>
        <family val="2"/>
      </rPr>
      <t xml:space="preserve">平均執行時間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)</t>
    </r>
  </si>
  <si>
    <t xml:space="preserve">平均逾時次數</t>
  </si>
  <si>
    <t xml:space="preserve">平均略過片段</t>
  </si>
  <si>
    <r>
      <rPr>
        <sz val="10"/>
        <color rgb="FF000000"/>
        <rFont val="Noto Sans CJK SC"/>
        <family val="2"/>
      </rPr>
      <t xml:space="preserve">平均最後保留 </t>
    </r>
    <r>
      <rPr>
        <sz val="10"/>
        <color rgb="FF000000"/>
        <rFont val="Arial"/>
        <family val="0"/>
        <charset val="1"/>
      </rPr>
      <t xml:space="preserve">code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</si>
  <si>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埋點召回率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雲端上界</t>
    </r>
    <r>
      <rPr>
        <sz val="10"/>
        <color rgb="FF000000"/>
        <rFont val="Arial"/>
        <family val="0"/>
        <charset val="1"/>
      </rPr>
      <t xml:space="preserve">(C1)</t>
    </r>
  </si>
  <si>
    <r>
      <rPr>
        <sz val="10"/>
        <color rgb="FF000000"/>
        <rFont val="Noto Sans CJK SC"/>
        <family val="2"/>
      </rPr>
      <t xml:space="preserve">本機各等級相對於 </t>
    </r>
    <r>
      <rPr>
        <sz val="10"/>
        <color rgb="FF000000"/>
        <rFont val="Arial"/>
        <family val="0"/>
        <charset val="1"/>
      </rPr>
      <t xml:space="preserve">C1 </t>
    </r>
    <r>
      <rPr>
        <sz val="10"/>
        <color rgb="FF000000"/>
        <rFont val="Noto Sans CJK SC"/>
        <family val="2"/>
      </rPr>
      <t xml:space="preserve">的比例；論文主圖的 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軸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</si>
</sst>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3"/>
      <color rgb="FF1F4E79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1"/>
      <color rgb="FF1F4E79"/>
      <name val="Arial"/>
      <family val="0"/>
      <charset val="1"/>
    </font>
    <font>
      <b val="true"/>
      <sz val="11"/>
      <color rgb="FF1F4E79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EDEDED"/>
      </patternFill>
    </fill>
    <fill>
      <patternFill patternType="solid">
        <fgColor rgb="FFEDEDED"/>
        <bgColor rgb="FFDEEAF6"/>
      </patternFill>
    </fill>
    <fill>
      <patternFill patternType="solid">
        <fgColor rgb="FFFFFFCC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3" t="s">
        <v>7</v>
      </c>
      <c r="B7" s="4"/>
    </row>
    <row r="8" customFormat="false" ht="15" hidden="false" customHeight="false" outlineLevel="0" collapsed="false">
      <c r="A8" s="7" t="s">
        <v>8</v>
      </c>
      <c r="B8" s="4" t="s">
        <v>9</v>
      </c>
    </row>
    <row r="9" customFormat="false" ht="15" hidden="false" customHeight="false" outlineLevel="0" collapsed="false">
      <c r="A9" s="7" t="s">
        <v>10</v>
      </c>
      <c r="B9" s="6" t="s">
        <v>11</v>
      </c>
    </row>
    <row r="10" customFormat="false" ht="15" hidden="false" customHeight="false" outlineLevel="0" collapsed="false">
      <c r="A10" s="7" t="s">
        <v>12</v>
      </c>
      <c r="B10" s="6" t="s">
        <v>13</v>
      </c>
    </row>
    <row r="11" customFormat="false" ht="15" hidden="false" customHeight="false" outlineLevel="0" collapsed="false">
      <c r="A11" s="7" t="s">
        <v>14</v>
      </c>
      <c r="B11" s="4" t="s">
        <v>15</v>
      </c>
    </row>
    <row r="12" customFormat="false" ht="15" hidden="false" customHeight="false" outlineLevel="0" collapsed="false">
      <c r="A12" s="7" t="s">
        <v>16</v>
      </c>
      <c r="B12" s="6" t="s">
        <v>17</v>
      </c>
    </row>
    <row r="13" customFormat="false" ht="15" hidden="false" customHeight="false" outlineLevel="0" collapsed="false">
      <c r="A13" s="7" t="s">
        <v>18</v>
      </c>
      <c r="B13" s="4" t="s">
        <v>19</v>
      </c>
    </row>
    <row r="14" customFormat="false" ht="15" hidden="false" customHeight="false" outlineLevel="0" collapsed="false">
      <c r="A14" s="7" t="s">
        <v>20</v>
      </c>
      <c r="B14" s="4" t="s">
        <v>21</v>
      </c>
    </row>
    <row r="15" customFormat="false" ht="15" hidden="false" customHeight="false" outlineLevel="0" collapsed="false">
      <c r="A15" s="7" t="s">
        <v>22</v>
      </c>
      <c r="B15" s="4" t="s">
        <v>23</v>
      </c>
    </row>
    <row r="16" customFormat="false" ht="15" hidden="false" customHeight="false" outlineLevel="0" collapsed="false">
      <c r="A16" s="7" t="s">
        <v>24</v>
      </c>
      <c r="B16" s="6" t="s">
        <v>25</v>
      </c>
    </row>
    <row r="17" customFormat="false" ht="15" hidden="false" customHeight="false" outlineLevel="0" collapsed="false">
      <c r="A17" s="7" t="s">
        <v>26</v>
      </c>
      <c r="B17" s="6" t="s">
        <v>27</v>
      </c>
    </row>
    <row r="18" customFormat="false" ht="15" hidden="false" customHeight="false" outlineLevel="0" collapsed="false">
      <c r="A18" s="7" t="s">
        <v>28</v>
      </c>
      <c r="B18" s="6" t="s">
        <v>29</v>
      </c>
    </row>
    <row r="19" customFormat="false" ht="15" hidden="false" customHeight="false" outlineLevel="0" collapsed="false">
      <c r="A19" s="7" t="s">
        <v>30</v>
      </c>
      <c r="B19" s="6" t="s">
        <v>31</v>
      </c>
    </row>
    <row r="20" customFormat="false" ht="15" hidden="false" customHeight="false" outlineLevel="0" collapsed="false">
      <c r="A20" s="7" t="s">
        <v>32</v>
      </c>
      <c r="B20" s="6" t="s">
        <v>33</v>
      </c>
    </row>
    <row r="21" customFormat="false" ht="15" hidden="false" customHeight="false" outlineLevel="0" collapsed="false">
      <c r="A21" s="7" t="s">
        <v>34</v>
      </c>
      <c r="B21" s="4" t="s">
        <v>35</v>
      </c>
    </row>
    <row r="22" customFormat="false" ht="15" hidden="false" customHeight="false" outlineLevel="0" collapsed="false">
      <c r="A22" s="5" t="s">
        <v>36</v>
      </c>
      <c r="B22" s="6" t="s">
        <v>37</v>
      </c>
    </row>
    <row r="23" customFormat="false" ht="15" hidden="false" customHeight="false" outlineLevel="0" collapsed="false">
      <c r="A23" s="7"/>
      <c r="B23" s="4"/>
    </row>
    <row r="24" customFormat="false" ht="15" hidden="false" customHeight="false" outlineLevel="0" collapsed="false">
      <c r="A24" s="3" t="s">
        <v>38</v>
      </c>
      <c r="B24" s="4"/>
    </row>
    <row r="25" customFormat="false" ht="15" hidden="false" customHeight="false" outlineLevel="0" collapsed="false">
      <c r="A25" s="5" t="s">
        <v>39</v>
      </c>
      <c r="B25" s="4" t="s">
        <v>40</v>
      </c>
    </row>
    <row r="26" customFormat="false" ht="15" hidden="false" customHeight="false" outlineLevel="0" collapsed="false">
      <c r="A26" s="5" t="s">
        <v>41</v>
      </c>
      <c r="B26" s="4" t="s">
        <v>42</v>
      </c>
    </row>
    <row r="27" customFormat="false" ht="29.85" hidden="false" customHeight="false" outlineLevel="0" collapsed="false">
      <c r="A27" s="5" t="s">
        <v>43</v>
      </c>
      <c r="B27" s="4" t="s">
        <v>44</v>
      </c>
    </row>
    <row r="28" customFormat="false" ht="15" hidden="false" customHeight="false" outlineLevel="0" collapsed="false">
      <c r="A28" s="5" t="s">
        <v>45</v>
      </c>
      <c r="B28" s="4" t="s">
        <v>46</v>
      </c>
    </row>
    <row r="29" customFormat="false" ht="15" hidden="false" customHeight="false" outlineLevel="0" collapsed="false">
      <c r="A29" s="5" t="s">
        <v>47</v>
      </c>
      <c r="B29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10" min="9" style="0" width="10"/>
    <col collapsed="false" customWidth="true" hidden="false" outlineLevel="0" max="11" min="11" style="0" width="30"/>
  </cols>
  <sheetData>
    <row r="1" customFormat="false" ht="20.1" hidden="false" customHeight="false" outlineLevel="0" collapsed="false">
      <c r="A1" s="1" t="s">
        <v>49</v>
      </c>
    </row>
    <row r="3" customFormat="false" ht="30" hidden="false" customHeight="true" outlineLevel="0" collapsed="false">
      <c r="A3" s="8" t="s">
        <v>50</v>
      </c>
      <c r="B3" s="8" t="s">
        <v>51</v>
      </c>
      <c r="C3" s="8" t="s">
        <v>52</v>
      </c>
      <c r="D3" s="8" t="s">
        <v>53</v>
      </c>
      <c r="E3" s="8" t="s">
        <v>54</v>
      </c>
      <c r="F3" s="8" t="s">
        <v>55</v>
      </c>
      <c r="G3" s="8" t="s">
        <v>56</v>
      </c>
      <c r="H3" s="9" t="s">
        <v>57</v>
      </c>
      <c r="I3" s="8" t="s">
        <v>58</v>
      </c>
      <c r="J3" s="8" t="s">
        <v>59</v>
      </c>
      <c r="K3" s="8" t="s">
        <v>60</v>
      </c>
    </row>
    <row r="4" customFormat="false" ht="15" hidden="false" customHeight="false" outlineLevel="0" collapsed="false">
      <c r="A4" s="10" t="s">
        <v>61</v>
      </c>
      <c r="B4" s="11" t="s">
        <v>62</v>
      </c>
      <c r="C4" s="10" t="s">
        <v>63</v>
      </c>
      <c r="D4" s="10" t="s">
        <v>64</v>
      </c>
      <c r="E4" s="11" t="s">
        <v>65</v>
      </c>
      <c r="F4" s="10" t="n">
        <v>5</v>
      </c>
      <c r="G4" s="10" t="n">
        <v>6</v>
      </c>
      <c r="H4" s="11" t="s">
        <v>66</v>
      </c>
      <c r="I4" s="11" t="s">
        <v>67</v>
      </c>
      <c r="J4" s="11" t="s">
        <v>68</v>
      </c>
      <c r="K4" s="10" t="s">
        <v>69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</sheetData>
  <dataValidations count="2">
    <dataValidation allowBlank="true" errorStyle="stop" operator="between" showDropDown="false" showErrorMessage="false" showInputMessage="false" sqref="C4:C40" type="list">
      <formula1>"未曾,曾用"</formula1>
      <formula2>0</formula2>
    </dataValidation>
    <dataValidation allowBlank="true" errorStyle="stop" operator="between" showDropDown="false" showErrorMessage="false" showInputMessage="false" sqref="H4:H40" type="list">
      <formula1>"AB,BA"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8"/>
    <col collapsed="false" customWidth="true" hidden="false" outlineLevel="0" max="13" min="12" style="0" width="10"/>
    <col collapsed="false" customWidth="true" hidden="false" outlineLevel="0" max="14" min="14" style="0" width="36"/>
    <col collapsed="false" customWidth="true" hidden="false" outlineLevel="0" max="15" min="15" style="0" width="24"/>
  </cols>
  <sheetData>
    <row r="1" customFormat="false" ht="20.1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3" customFormat="false" ht="30" hidden="false" customHeight="true" outlineLevel="0" collapsed="false">
      <c r="A3" s="8" t="s">
        <v>50</v>
      </c>
      <c r="B3" s="8" t="s">
        <v>72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77</v>
      </c>
      <c r="H3" s="8" t="s">
        <v>78</v>
      </c>
      <c r="I3" s="8" t="s">
        <v>79</v>
      </c>
      <c r="J3" s="8" t="s">
        <v>80</v>
      </c>
      <c r="K3" s="8" t="s">
        <v>81</v>
      </c>
      <c r="L3" s="8" t="s">
        <v>82</v>
      </c>
      <c r="M3" s="8" t="s">
        <v>83</v>
      </c>
      <c r="N3" s="8" t="s">
        <v>84</v>
      </c>
      <c r="O3" s="8" t="s">
        <v>60</v>
      </c>
    </row>
    <row r="4" customFormat="false" ht="15" hidden="false" customHeight="false" outlineLevel="0" collapsed="false">
      <c r="A4" s="10" t="s">
        <v>61</v>
      </c>
      <c r="B4" s="11" t="s">
        <v>85</v>
      </c>
      <c r="C4" s="11" t="s">
        <v>86</v>
      </c>
      <c r="D4" s="11" t="s">
        <v>87</v>
      </c>
      <c r="E4" s="11" t="s">
        <v>88</v>
      </c>
      <c r="F4" s="10" t="n">
        <v>9</v>
      </c>
      <c r="G4" s="10" t="n">
        <v>4</v>
      </c>
      <c r="H4" s="11" t="s">
        <v>89</v>
      </c>
      <c r="I4" s="11" t="n">
        <v>0.5</v>
      </c>
      <c r="J4" s="10" t="n">
        <v>1</v>
      </c>
      <c r="K4" s="10" t="n">
        <v>1</v>
      </c>
      <c r="L4" s="10" t="n">
        <v>5</v>
      </c>
      <c r="M4" s="10" t="n">
        <v>4</v>
      </c>
      <c r="N4" s="10" t="s">
        <v>90</v>
      </c>
      <c r="O4" s="10" t="s">
        <v>69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</sheetData>
  <dataValidations count="4">
    <dataValidation allowBlank="true" errorStyle="stop" operator="between" showDropDown="false" showErrorMessage="false" showInputMessage="false" sqref="B4:B200" type="list">
      <formula1>"T0,T1,T2,T3,T4,T5,T6,T7"</formula1>
      <formula2>0</formula2>
    </dataValidation>
    <dataValidation allowBlank="true" errorStyle="stop" operator="between" showDropDown="false" showErrorMessage="false" showInputMessage="false" sqref="C4:C200" type="list">
      <formula1>"Seal STT,Seal Open Coding,Seal Code Reader,安裝器"</formula1>
      <formula2>0</formula2>
    </dataValidation>
    <dataValidation allowBlank="true" errorStyle="stop" operator="between" showDropDown="false" showErrorMessage="false" showInputMessage="false" sqref="H4:H200" type="list">
      <formula1>"Y,N"</formula1>
      <formula2>0</formula2>
    </dataValidation>
    <dataValidation allowBlank="true" errorStyle="stop" operator="between" showDropDown="false" showErrorMessage="false" showInputMessage="false" sqref="I4:I200" type="list">
      <formula1>"1,0.5,0"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20.1" hidden="false" customHeight="false" outlineLevel="0" collapsed="false">
      <c r="A1" s="1" t="s">
        <v>91</v>
      </c>
    </row>
    <row r="3" customFormat="false" ht="30" hidden="false" customHeight="true" outlineLevel="0" collapsed="false">
      <c r="A3" s="8" t="s">
        <v>50</v>
      </c>
      <c r="B3" s="8" t="s">
        <v>72</v>
      </c>
      <c r="C3" s="8" t="s">
        <v>92</v>
      </c>
      <c r="D3" s="8" t="s">
        <v>93</v>
      </c>
      <c r="E3" s="8" t="s">
        <v>73</v>
      </c>
      <c r="F3" s="8" t="s">
        <v>94</v>
      </c>
      <c r="G3" s="8" t="s">
        <v>95</v>
      </c>
      <c r="H3" s="8" t="s">
        <v>96</v>
      </c>
    </row>
    <row r="4" customFormat="false" ht="15" hidden="false" customHeight="false" outlineLevel="0" collapsed="false">
      <c r="A4" s="10" t="s">
        <v>61</v>
      </c>
      <c r="B4" s="11" t="s">
        <v>97</v>
      </c>
      <c r="C4" s="11" t="s">
        <v>98</v>
      </c>
      <c r="D4" s="10" t="s">
        <v>99</v>
      </c>
      <c r="E4" s="11" t="s">
        <v>100</v>
      </c>
      <c r="F4" s="13" t="s">
        <v>101</v>
      </c>
      <c r="G4" s="11" t="n">
        <v>2</v>
      </c>
      <c r="H4" s="11" t="s">
        <v>102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</row>
  </sheetData>
  <dataValidations count="2">
    <dataValidation allowBlank="true" errorStyle="stop" operator="between" showDropDown="false" showErrorMessage="false" showInputMessage="false" sqref="D4:D400" type="list">
      <formula1>"錯誤,困惑,求助,評論,提示,成功"</formula1>
      <formula2>0</formula2>
    </dataValidation>
    <dataValidation allowBlank="true" errorStyle="stop" operator="between" showDropDown="false" showErrorMessage="false" showInputMessage="false" sqref="G4:G400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1" min="2" style="0" width="6"/>
    <col collapsed="false" customWidth="true" hidden="false" outlineLevel="0" max="13" min="12" style="0" width="12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3" customFormat="false" ht="30" hidden="false" customHeight="true" outlineLevel="0" collapsed="false">
      <c r="A3" s="8" t="s">
        <v>50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109</v>
      </c>
      <c r="G3" s="9" t="s">
        <v>110</v>
      </c>
      <c r="H3" s="9" t="s">
        <v>111</v>
      </c>
      <c r="I3" s="9" t="s">
        <v>112</v>
      </c>
      <c r="J3" s="9" t="s">
        <v>113</v>
      </c>
      <c r="K3" s="9" t="s">
        <v>114</v>
      </c>
      <c r="L3" s="8" t="s">
        <v>115</v>
      </c>
      <c r="M3" s="8" t="s">
        <v>116</v>
      </c>
      <c r="N3" s="9" t="s">
        <v>117</v>
      </c>
    </row>
    <row r="4" customFormat="false" ht="15" hidden="false" customHeight="false" outlineLevel="0" collapsed="false">
      <c r="A4" s="10" t="s">
        <v>61</v>
      </c>
      <c r="B4" s="11" t="n">
        <v>4</v>
      </c>
      <c r="C4" s="11" t="n">
        <v>2</v>
      </c>
      <c r="D4" s="11" t="n">
        <v>4</v>
      </c>
      <c r="E4" s="11" t="n">
        <v>2</v>
      </c>
      <c r="F4" s="11" t="n">
        <v>4</v>
      </c>
      <c r="G4" s="11" t="n">
        <v>2</v>
      </c>
      <c r="H4" s="11" t="n">
        <v>4</v>
      </c>
      <c r="I4" s="11" t="n">
        <v>2</v>
      </c>
      <c r="J4" s="11" t="n">
        <v>4</v>
      </c>
      <c r="K4" s="11" t="n">
        <v>3</v>
      </c>
      <c r="L4" s="14" t="n">
        <f aca="false">IF(COUNT(B4:K4)=10,(B4-1)+(D4-1)+(F4-1)+(H4-1)+(J4-1),"")</f>
        <v>15</v>
      </c>
      <c r="M4" s="14" t="n">
        <f aca="false">IF(COUNT(B4:K4)=10,(5-C4)+(5-E4)+(5-G4)+(5-I4)+(5-K4),"")</f>
        <v>14</v>
      </c>
      <c r="N4" s="14" t="n">
        <f aca="false">IF(COUNT(B4:K4)=10,(L4+M4)*2.5,"")</f>
        <v>72.5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4" t="str">
        <f aca="false">IF(COUNT(B5:K5)=10,(B5-1)+(D5-1)+(F5-1)+(H5-1)+(J5-1),"")</f>
        <v/>
      </c>
      <c r="M5" s="14" t="str">
        <f aca="false">IF(COUNT(B5:K5)=10,(5-C5)+(5-E5)+(5-G5)+(5-I5)+(5-K5),"")</f>
        <v/>
      </c>
      <c r="N5" s="14" t="str">
        <f aca="false">IF(COUNT(B5:K5)=10,(L5+M5)*2.5,"")</f>
        <v/>
      </c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4" t="str">
        <f aca="false">IF(COUNT(B6:K6)=10,(B6-1)+(D6-1)+(F6-1)+(H6-1)+(J6-1),"")</f>
        <v/>
      </c>
      <c r="M6" s="14" t="str">
        <f aca="false">IF(COUNT(B6:K6)=10,(5-C6)+(5-E6)+(5-G6)+(5-I6)+(5-K6),"")</f>
        <v/>
      </c>
      <c r="N6" s="14" t="str">
        <f aca="false">IF(COUNT(B6:K6)=10,(L6+M6)*2.5,"")</f>
        <v/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4" t="str">
        <f aca="false">IF(COUNT(B7:K7)=10,(B7-1)+(D7-1)+(F7-1)+(H7-1)+(J7-1),"")</f>
        <v/>
      </c>
      <c r="M7" s="14" t="str">
        <f aca="false">IF(COUNT(B7:K7)=10,(5-C7)+(5-E7)+(5-G7)+(5-I7)+(5-K7),"")</f>
        <v/>
      </c>
      <c r="N7" s="14" t="str">
        <f aca="false">IF(COUNT(B7:K7)=10,(L7+M7)*2.5,"")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4" t="str">
        <f aca="false">IF(COUNT(B8:K8)=10,(B8-1)+(D8-1)+(F8-1)+(H8-1)+(J8-1),"")</f>
        <v/>
      </c>
      <c r="M8" s="14" t="str">
        <f aca="false">IF(COUNT(B8:K8)=10,(5-C8)+(5-E8)+(5-G8)+(5-I8)+(5-K8),"")</f>
        <v/>
      </c>
      <c r="N8" s="14" t="str">
        <f aca="false">IF(COUNT(B8:K8)=10,(L8+M8)*2.5,"")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4" t="str">
        <f aca="false">IF(COUNT(B9:K9)=10,(B9-1)+(D9-1)+(F9-1)+(H9-1)+(J9-1),"")</f>
        <v/>
      </c>
      <c r="M9" s="14" t="str">
        <f aca="false">IF(COUNT(B9:K9)=10,(5-C9)+(5-E9)+(5-G9)+(5-I9)+(5-K9),"")</f>
        <v/>
      </c>
      <c r="N9" s="14" t="str">
        <f aca="false">IF(COUNT(B9:K9)=10,(L9+M9)*2.5,"")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 t="str">
        <f aca="false">IF(COUNT(B10:K10)=10,(B10-1)+(D10-1)+(F10-1)+(H10-1)+(J10-1),"")</f>
        <v/>
      </c>
      <c r="M10" s="14" t="str">
        <f aca="false">IF(COUNT(B10:K10)=10,(5-C10)+(5-E10)+(5-G10)+(5-I10)+(5-K10),"")</f>
        <v/>
      </c>
      <c r="N10" s="14" t="str">
        <f aca="false">IF(COUNT(B10:K10)=10,(L10+M10)*2.5,"")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 t="str">
        <f aca="false">IF(COUNT(B11:K11)=10,(B11-1)+(D11-1)+(F11-1)+(H11-1)+(J11-1),"")</f>
        <v/>
      </c>
      <c r="M11" s="14" t="str">
        <f aca="false">IF(COUNT(B11:K11)=10,(5-C11)+(5-E11)+(5-G11)+(5-I11)+(5-K11),"")</f>
        <v/>
      </c>
      <c r="N11" s="14" t="str">
        <f aca="false">IF(COUNT(B11:K11)=10,(L11+M11)*2.5,"")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4" t="str">
        <f aca="false">IF(COUNT(B12:K12)=10,(B12-1)+(D12-1)+(F12-1)+(H12-1)+(J12-1),"")</f>
        <v/>
      </c>
      <c r="M12" s="14" t="str">
        <f aca="false">IF(COUNT(B12:K12)=10,(5-C12)+(5-E12)+(5-G12)+(5-I12)+(5-K12),"")</f>
        <v/>
      </c>
      <c r="N12" s="14" t="str">
        <f aca="false">IF(COUNT(B12:K12)=10,(L12+M12)*2.5,"")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 t="str">
        <f aca="false">IF(COUNT(B13:K13)=10,(B13-1)+(D13-1)+(F13-1)+(H13-1)+(J13-1),"")</f>
        <v/>
      </c>
      <c r="M13" s="14" t="str">
        <f aca="false">IF(COUNT(B13:K13)=10,(5-C13)+(5-E13)+(5-G13)+(5-I13)+(5-K13),"")</f>
        <v/>
      </c>
      <c r="N13" s="14" t="str">
        <f aca="false">IF(COUNT(B13:K13)=10,(L13+M13)*2.5,"")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4" t="str">
        <f aca="false">IF(COUNT(B14:K14)=10,(B14-1)+(D14-1)+(F14-1)+(H14-1)+(J14-1),"")</f>
        <v/>
      </c>
      <c r="M14" s="14" t="str">
        <f aca="false">IF(COUNT(B14:K14)=10,(5-C14)+(5-E14)+(5-G14)+(5-I14)+(5-K14),"")</f>
        <v/>
      </c>
      <c r="N14" s="14" t="str">
        <f aca="false">IF(COUNT(B14:K14)=10,(L14+M14)*2.5,"")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4" t="str">
        <f aca="false">IF(COUNT(B15:K15)=10,(B15-1)+(D15-1)+(F15-1)+(H15-1)+(J15-1),"")</f>
        <v/>
      </c>
      <c r="M15" s="14" t="str">
        <f aca="false">IF(COUNT(B15:K15)=10,(5-C15)+(5-E15)+(5-G15)+(5-I15)+(5-K15),"")</f>
        <v/>
      </c>
      <c r="N15" s="14" t="str">
        <f aca="false">IF(COUNT(B15:K15)=10,(L15+M15)*2.5,"")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4" t="str">
        <f aca="false">IF(COUNT(B16:K16)=10,(B16-1)+(D16-1)+(F16-1)+(H16-1)+(J16-1),"")</f>
        <v/>
      </c>
      <c r="M16" s="14" t="str">
        <f aca="false">IF(COUNT(B16:K16)=10,(5-C16)+(5-E16)+(5-G16)+(5-I16)+(5-K16),"")</f>
        <v/>
      </c>
      <c r="N16" s="14" t="str">
        <f aca="false">IF(COUNT(B16:K16)=10,(L16+M16)*2.5,"")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4" t="str">
        <f aca="false">IF(COUNT(B17:K17)=10,(B17-1)+(D17-1)+(F17-1)+(H17-1)+(J17-1),"")</f>
        <v/>
      </c>
      <c r="M17" s="14" t="str">
        <f aca="false">IF(COUNT(B17:K17)=10,(5-C17)+(5-E17)+(5-G17)+(5-I17)+(5-K17),"")</f>
        <v/>
      </c>
      <c r="N17" s="14" t="str">
        <f aca="false">IF(COUNT(B17:K17)=10,(L17+M17)*2.5,"")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4" t="str">
        <f aca="false">IF(COUNT(B18:K18)=10,(B18-1)+(D18-1)+(F18-1)+(H18-1)+(J18-1),"")</f>
        <v/>
      </c>
      <c r="M18" s="14" t="str">
        <f aca="false">IF(COUNT(B18:K18)=10,(5-C18)+(5-E18)+(5-G18)+(5-I18)+(5-K18),"")</f>
        <v/>
      </c>
      <c r="N18" s="14" t="str">
        <f aca="false">IF(COUNT(B18:K18)=10,(L18+M18)*2.5,"")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4" t="str">
        <f aca="false">IF(COUNT(B19:K19)=10,(B19-1)+(D19-1)+(F19-1)+(H19-1)+(J19-1),"")</f>
        <v/>
      </c>
      <c r="M19" s="14" t="str">
        <f aca="false">IF(COUNT(B19:K19)=10,(5-C19)+(5-E19)+(5-G19)+(5-I19)+(5-K19),"")</f>
        <v/>
      </c>
      <c r="N19" s="14" t="str">
        <f aca="false">IF(COUNT(B19:K19)=10,(L19+M19)*2.5,"")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4" t="str">
        <f aca="false">IF(COUNT(B20:K20)=10,(B20-1)+(D20-1)+(F20-1)+(H20-1)+(J20-1),"")</f>
        <v/>
      </c>
      <c r="M20" s="14" t="str">
        <f aca="false">IF(COUNT(B20:K20)=10,(5-C20)+(5-E20)+(5-G20)+(5-I20)+(5-K20),"")</f>
        <v/>
      </c>
      <c r="N20" s="14" t="str">
        <f aca="false">IF(COUNT(B20:K20)=10,(L20+M20)*2.5,"")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4" t="str">
        <f aca="false">IF(COUNT(B21:K21)=10,(B21-1)+(D21-1)+(F21-1)+(H21-1)+(J21-1),"")</f>
        <v/>
      </c>
      <c r="M21" s="14" t="str">
        <f aca="false">IF(COUNT(B21:K21)=10,(5-C21)+(5-E21)+(5-G21)+(5-I21)+(5-K21),"")</f>
        <v/>
      </c>
      <c r="N21" s="14" t="str">
        <f aca="false">IF(COUNT(B21:K21)=10,(L21+M21)*2.5,"")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4" t="str">
        <f aca="false">IF(COUNT(B22:K22)=10,(B22-1)+(D22-1)+(F22-1)+(H22-1)+(J22-1),"")</f>
        <v/>
      </c>
      <c r="M22" s="14" t="str">
        <f aca="false">IF(COUNT(B22:K22)=10,(5-C22)+(5-E22)+(5-G22)+(5-I22)+(5-K22),"")</f>
        <v/>
      </c>
      <c r="N22" s="14" t="str">
        <f aca="false">IF(COUNT(B22:K22)=10,(L22+M22)*2.5,"")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4" t="str">
        <f aca="false">IF(COUNT(B23:K23)=10,(B23-1)+(D23-1)+(F23-1)+(H23-1)+(J23-1),"")</f>
        <v/>
      </c>
      <c r="M23" s="14" t="str">
        <f aca="false">IF(COUNT(B23:K23)=10,(5-C23)+(5-E23)+(5-G23)+(5-I23)+(5-K23),"")</f>
        <v/>
      </c>
      <c r="N23" s="14" t="str">
        <f aca="false">IF(COUNT(B23:K23)=10,(L23+M23)*2.5,"")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4" t="str">
        <f aca="false">IF(COUNT(B24:K24)=10,(B24-1)+(D24-1)+(F24-1)+(H24-1)+(J24-1),"")</f>
        <v/>
      </c>
      <c r="M24" s="14" t="str">
        <f aca="false">IF(COUNT(B24:K24)=10,(5-C24)+(5-E24)+(5-G24)+(5-I24)+(5-K24),"")</f>
        <v/>
      </c>
      <c r="N24" s="14" t="str">
        <f aca="false">IF(COUNT(B24:K24)=10,(L24+M24)*2.5,"")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4" t="str">
        <f aca="false">IF(COUNT(B25:K25)=10,(B25-1)+(D25-1)+(F25-1)+(H25-1)+(J25-1),"")</f>
        <v/>
      </c>
      <c r="M25" s="14" t="str">
        <f aca="false">IF(COUNT(B25:K25)=10,(5-C25)+(5-E25)+(5-G25)+(5-I25)+(5-K25),"")</f>
        <v/>
      </c>
      <c r="N25" s="14" t="str">
        <f aca="false">IF(COUNT(B25:K25)=10,(L25+M25)*2.5,"")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 t="str">
        <f aca="false">IF(COUNT(B26:K26)=10,(B26-1)+(D26-1)+(F26-1)+(H26-1)+(J26-1),"")</f>
        <v/>
      </c>
      <c r="M26" s="14" t="str">
        <f aca="false">IF(COUNT(B26:K26)=10,(5-C26)+(5-E26)+(5-G26)+(5-I26)+(5-K26),"")</f>
        <v/>
      </c>
      <c r="N26" s="14" t="str">
        <f aca="false">IF(COUNT(B26:K26)=10,(L26+M26)*2.5,"")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4" t="str">
        <f aca="false">IF(COUNT(B27:K27)=10,(B27-1)+(D27-1)+(F27-1)+(H27-1)+(J27-1),"")</f>
        <v/>
      </c>
      <c r="M27" s="14" t="str">
        <f aca="false">IF(COUNT(B27:K27)=10,(5-C27)+(5-E27)+(5-G27)+(5-I27)+(5-K27),"")</f>
        <v/>
      </c>
      <c r="N27" s="14" t="str">
        <f aca="false">IF(COUNT(B27:K27)=10,(L27+M27)*2.5,"")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4" t="str">
        <f aca="false">IF(COUNT(B28:K28)=10,(B28-1)+(D28-1)+(F28-1)+(H28-1)+(J28-1),"")</f>
        <v/>
      </c>
      <c r="M28" s="14" t="str">
        <f aca="false">IF(COUNT(B28:K28)=10,(5-C28)+(5-E28)+(5-G28)+(5-I28)+(5-K28),"")</f>
        <v/>
      </c>
      <c r="N28" s="14" t="str">
        <f aca="false">IF(COUNT(B28:K28)=10,(L28+M28)*2.5,"")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4" t="str">
        <f aca="false">IF(COUNT(B29:K29)=10,(B29-1)+(D29-1)+(F29-1)+(H29-1)+(J29-1),"")</f>
        <v/>
      </c>
      <c r="M29" s="14" t="str">
        <f aca="false">IF(COUNT(B29:K29)=10,(5-C29)+(5-E29)+(5-G29)+(5-I29)+(5-K29),"")</f>
        <v/>
      </c>
      <c r="N29" s="14" t="str">
        <f aca="false">IF(COUNT(B29:K29)=10,(L29+M29)*2.5,"")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4" t="str">
        <f aca="false">IF(COUNT(B30:K30)=10,(B30-1)+(D30-1)+(F30-1)+(H30-1)+(J30-1),"")</f>
        <v/>
      </c>
      <c r="M30" s="14" t="str">
        <f aca="false">IF(COUNT(B30:K30)=10,(5-C30)+(5-E30)+(5-G30)+(5-I30)+(5-K30),"")</f>
        <v/>
      </c>
      <c r="N30" s="14" t="str">
        <f aca="false">IF(COUNT(B30:K30)=10,(L30+M30)*2.5,"")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4" t="str">
        <f aca="false">IF(COUNT(B31:K31)=10,(B31-1)+(D31-1)+(F31-1)+(H31-1)+(J31-1),"")</f>
        <v/>
      </c>
      <c r="M31" s="14" t="str">
        <f aca="false">IF(COUNT(B31:K31)=10,(5-C31)+(5-E31)+(5-G31)+(5-I31)+(5-K31),"")</f>
        <v/>
      </c>
      <c r="N31" s="14" t="str">
        <f aca="false">IF(COUNT(B31:K31)=10,(L31+M31)*2.5,"")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4" t="str">
        <f aca="false">IF(COUNT(B32:K32)=10,(B32-1)+(D32-1)+(F32-1)+(H32-1)+(J32-1),"")</f>
        <v/>
      </c>
      <c r="M32" s="14" t="str">
        <f aca="false">IF(COUNT(B32:K32)=10,(5-C32)+(5-E32)+(5-G32)+(5-I32)+(5-K32),"")</f>
        <v/>
      </c>
      <c r="N32" s="14" t="str">
        <f aca="false">IF(COUNT(B32:K32)=10,(L32+M32)*2.5,"")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4" t="str">
        <f aca="false">IF(COUNT(B33:K33)=10,(B33-1)+(D33-1)+(F33-1)+(H33-1)+(J33-1),"")</f>
        <v/>
      </c>
      <c r="M33" s="14" t="str">
        <f aca="false">IF(COUNT(B33:K33)=10,(5-C33)+(5-E33)+(5-G33)+(5-I33)+(5-K33),"")</f>
        <v/>
      </c>
      <c r="N33" s="14" t="str">
        <f aca="false">IF(COUNT(B33:K33)=10,(L33+M33)*2.5,"")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4" t="str">
        <f aca="false">IF(COUNT(B34:K34)=10,(B34-1)+(D34-1)+(F34-1)+(H34-1)+(J34-1),"")</f>
        <v/>
      </c>
      <c r="M34" s="14" t="str">
        <f aca="false">IF(COUNT(B34:K34)=10,(5-C34)+(5-E34)+(5-G34)+(5-I34)+(5-K34),"")</f>
        <v/>
      </c>
      <c r="N34" s="14" t="str">
        <f aca="false">IF(COUNT(B34:K34)=10,(L34+M34)*2.5,"")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4" t="str">
        <f aca="false">IF(COUNT(B35:K35)=10,(B35-1)+(D35-1)+(F35-1)+(H35-1)+(J35-1),"")</f>
        <v/>
      </c>
      <c r="M35" s="14" t="str">
        <f aca="false">IF(COUNT(B35:K35)=10,(5-C35)+(5-E35)+(5-G35)+(5-I35)+(5-K35),"")</f>
        <v/>
      </c>
      <c r="N35" s="14" t="str">
        <f aca="false">IF(COUNT(B35:K35)=10,(L35+M35)*2.5,"")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4" t="str">
        <f aca="false">IF(COUNT(B36:K36)=10,(B36-1)+(D36-1)+(F36-1)+(H36-1)+(J36-1),"")</f>
        <v/>
      </c>
      <c r="M36" s="14" t="str">
        <f aca="false">IF(COUNT(B36:K36)=10,(5-C36)+(5-E36)+(5-G36)+(5-I36)+(5-K36),"")</f>
        <v/>
      </c>
      <c r="N36" s="14" t="str">
        <f aca="false">IF(COUNT(B36:K36)=10,(L36+M36)*2.5,"")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4" t="str">
        <f aca="false">IF(COUNT(B37:K37)=10,(B37-1)+(D37-1)+(F37-1)+(H37-1)+(J37-1),"")</f>
        <v/>
      </c>
      <c r="M37" s="14" t="str">
        <f aca="false">IF(COUNT(B37:K37)=10,(5-C37)+(5-E37)+(5-G37)+(5-I37)+(5-K37),"")</f>
        <v/>
      </c>
      <c r="N37" s="14" t="str">
        <f aca="false">IF(COUNT(B37:K37)=10,(L37+M37)*2.5,"")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4" t="str">
        <f aca="false">IF(COUNT(B38:K38)=10,(B38-1)+(D38-1)+(F38-1)+(H38-1)+(J38-1),"")</f>
        <v/>
      </c>
      <c r="M38" s="14" t="str">
        <f aca="false">IF(COUNT(B38:K38)=10,(5-C38)+(5-E38)+(5-G38)+(5-I38)+(5-K38),"")</f>
        <v/>
      </c>
      <c r="N38" s="14" t="str">
        <f aca="false">IF(COUNT(B38:K38)=10,(L38+M38)*2.5,"")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4" t="str">
        <f aca="false">IF(COUNT(B39:K39)=10,(B39-1)+(D39-1)+(F39-1)+(H39-1)+(J39-1),"")</f>
        <v/>
      </c>
      <c r="M39" s="14" t="str">
        <f aca="false">IF(COUNT(B39:K39)=10,(5-C39)+(5-E39)+(5-G39)+(5-I39)+(5-K39),"")</f>
        <v/>
      </c>
      <c r="N39" s="14" t="str">
        <f aca="false">IF(COUNT(B39:K39)=10,(L39+M39)*2.5,"")</f>
        <v/>
      </c>
    </row>
    <row r="42" customFormat="false" ht="15" hidden="false" customHeight="false" outlineLevel="0" collapsed="false">
      <c r="A42" s="14" t="s">
        <v>118</v>
      </c>
      <c r="B42" s="14" t="n">
        <f aca="false">COUNT(N4:N39)</f>
        <v>1</v>
      </c>
    </row>
    <row r="43" customFormat="false" ht="15" hidden="false" customHeight="false" outlineLevel="0" collapsed="false">
      <c r="A43" s="15" t="s">
        <v>119</v>
      </c>
      <c r="B43" s="15" t="n">
        <f aca="false">IF(COUNT(N4:N39)&gt;0,AVERAGE(N4:N39),"")</f>
        <v>72.5</v>
      </c>
    </row>
    <row r="44" customFormat="false" ht="15" hidden="false" customHeight="false" outlineLevel="0" collapsed="false">
      <c r="A44" s="15" t="s">
        <v>120</v>
      </c>
      <c r="B44" s="15" t="str">
        <f aca="false">IF(COUNT(N4:N39)&gt;1,STDEV(N4:N39),"")</f>
        <v/>
      </c>
    </row>
    <row r="45" customFormat="false" ht="15" hidden="false" customHeight="false" outlineLevel="0" collapsed="false">
      <c r="A45" s="14" t="s">
        <v>121</v>
      </c>
      <c r="B45" s="15" t="str">
        <f aca="false">IF(COUNT(N4:N39)&gt;1,TINV(0.05,COUNT(N4:N39)-1)*STDEV(N4:N39)/SQRT(COUNT(N4:N39)),"")</f>
        <v/>
      </c>
    </row>
    <row r="46" customFormat="false" ht="15" hidden="false" customHeight="false" outlineLevel="0" collapsed="false">
      <c r="A46" s="14" t="s">
        <v>122</v>
      </c>
      <c r="B46" s="15" t="str">
        <f aca="false">IF(COUNT(N4:N39)&gt;1,B43-B45,"")</f>
        <v/>
      </c>
    </row>
    <row r="47" customFormat="false" ht="15" hidden="false" customHeight="false" outlineLevel="0" collapsed="false">
      <c r="A47" s="14" t="s">
        <v>123</v>
      </c>
      <c r="B47" s="15" t="str">
        <f aca="false">IF(COUNT(N4:N39)&gt;1,B43+B45,"")</f>
        <v/>
      </c>
    </row>
    <row r="48" customFormat="false" ht="15" hidden="false" customHeight="false" outlineLevel="0" collapsed="false">
      <c r="A48" s="16" t="s">
        <v>124</v>
      </c>
    </row>
  </sheetData>
  <dataValidations count="1">
    <dataValidation allowBlank="true" errorStyle="stop" operator="between" showDropDown="false" showErrorMessage="false" showInputMessage="false" sqref="B4:K39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6" min="2" style="0" width="11"/>
  </cols>
  <sheetData>
    <row r="1" customFormat="false" ht="20.1" hidden="false" customHeight="false" outlineLevel="0" collapsed="false">
      <c r="A1" s="1" t="s">
        <v>125</v>
      </c>
    </row>
    <row r="3" customFormat="false" ht="30" hidden="false" customHeight="true" outlineLevel="0" collapsed="false">
      <c r="A3" s="8" t="s">
        <v>50</v>
      </c>
      <c r="B3" s="9" t="s">
        <v>126</v>
      </c>
      <c r="C3" s="9" t="s">
        <v>127</v>
      </c>
      <c r="D3" s="9" t="s">
        <v>128</v>
      </c>
      <c r="E3" s="9" t="s">
        <v>129</v>
      </c>
      <c r="F3" s="9" t="s">
        <v>130</v>
      </c>
      <c r="G3" s="9" t="s">
        <v>131</v>
      </c>
      <c r="H3" s="9" t="s">
        <v>132</v>
      </c>
      <c r="I3" s="9" t="s">
        <v>133</v>
      </c>
      <c r="J3" s="9" t="s">
        <v>134</v>
      </c>
      <c r="K3" s="9" t="s">
        <v>135</v>
      </c>
      <c r="L3" s="9" t="s">
        <v>136</v>
      </c>
      <c r="M3" s="9" t="s">
        <v>137</v>
      </c>
      <c r="N3" s="9" t="s">
        <v>138</v>
      </c>
      <c r="O3" s="9" t="s">
        <v>139</v>
      </c>
      <c r="P3" s="9" t="s">
        <v>140</v>
      </c>
    </row>
    <row r="4" customFormat="false" ht="15" hidden="false" customHeight="false" outlineLevel="0" collapsed="false">
      <c r="A4" s="10" t="s">
        <v>61</v>
      </c>
      <c r="B4" s="11" t="n">
        <v>5</v>
      </c>
      <c r="C4" s="11" t="n">
        <v>6</v>
      </c>
      <c r="D4" s="11" t="n">
        <v>5</v>
      </c>
      <c r="E4" s="11" t="n">
        <v>6</v>
      </c>
      <c r="F4" s="11" t="n">
        <v>4</v>
      </c>
      <c r="G4" s="11" t="n">
        <v>5</v>
      </c>
      <c r="H4" s="11" t="n">
        <v>4</v>
      </c>
      <c r="I4" s="11" t="n">
        <v>5</v>
      </c>
      <c r="J4" s="11" t="n">
        <v>5</v>
      </c>
      <c r="K4" s="11" t="n">
        <v>3</v>
      </c>
      <c r="L4" s="11" t="n">
        <v>4</v>
      </c>
      <c r="M4" s="11" t="n">
        <v>4</v>
      </c>
      <c r="N4" s="11" t="n">
        <v>6</v>
      </c>
      <c r="O4" s="11" t="n">
        <v>6</v>
      </c>
      <c r="P4" s="11" t="n">
        <v>5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1" customFormat="false" ht="15" hidden="false" customHeight="false" outlineLevel="0" collapsed="false">
      <c r="A41" s="15" t="s">
        <v>119</v>
      </c>
      <c r="B41" s="15" t="n">
        <f aca="false">IF(COUNT(B4:B39)&gt;0,AVERAGE(B4:B39),"")</f>
        <v>5</v>
      </c>
      <c r="C41" s="15" t="n">
        <f aca="false">IF(COUNT(C4:C39)&gt;0,AVERAGE(C4:C39),"")</f>
        <v>6</v>
      </c>
      <c r="D41" s="15" t="n">
        <f aca="false">IF(COUNT(D4:D39)&gt;0,AVERAGE(D4:D39),"")</f>
        <v>5</v>
      </c>
      <c r="E41" s="15" t="n">
        <f aca="false">IF(COUNT(E4:E39)&gt;0,AVERAGE(E4:E39),"")</f>
        <v>6</v>
      </c>
      <c r="F41" s="15" t="n">
        <f aca="false">IF(COUNT(F4:F39)&gt;0,AVERAGE(F4:F39),"")</f>
        <v>4</v>
      </c>
      <c r="G41" s="15" t="n">
        <f aca="false">IF(COUNT(G4:G39)&gt;0,AVERAGE(G4:G39),"")</f>
        <v>5</v>
      </c>
      <c r="H41" s="15" t="n">
        <f aca="false">IF(COUNT(H4:H39)&gt;0,AVERAGE(H4:H39),"")</f>
        <v>4</v>
      </c>
      <c r="I41" s="15" t="n">
        <f aca="false">IF(COUNT(I4:I39)&gt;0,AVERAGE(I4:I39),"")</f>
        <v>5</v>
      </c>
      <c r="J41" s="15" t="n">
        <f aca="false">IF(COUNT(J4:J39)&gt;0,AVERAGE(J4:J39),"")</f>
        <v>5</v>
      </c>
      <c r="K41" s="15" t="n">
        <f aca="false">IF(COUNT(K4:K39)&gt;0,AVERAGE(K4:K39),"")</f>
        <v>3</v>
      </c>
      <c r="L41" s="15" t="n">
        <f aca="false">IF(COUNT(L4:L39)&gt;0,AVERAGE(L4:L39),"")</f>
        <v>4</v>
      </c>
      <c r="M41" s="15" t="n">
        <f aca="false">IF(COUNT(M4:M39)&gt;0,AVERAGE(M4:M39),"")</f>
        <v>4</v>
      </c>
      <c r="N41" s="15" t="n">
        <f aca="false">IF(COUNT(N4:N39)&gt;0,AVERAGE(N4:N39),"")</f>
        <v>6</v>
      </c>
      <c r="O41" s="15" t="n">
        <f aca="false">IF(COUNT(O4:O39)&gt;0,AVERAGE(O4:O39),"")</f>
        <v>6</v>
      </c>
      <c r="P41" s="15" t="n">
        <f aca="false">IF(COUNT(P4:P39)&gt;0,AVERAGE(P4:P39),"")</f>
        <v>5</v>
      </c>
    </row>
  </sheetData>
  <dataValidations count="1">
    <dataValidation allowBlank="true" errorStyle="stop" operator="between" showDropDown="false" showErrorMessage="false" showInputMessage="false" sqref="B4:P39" type="list">
      <formula1>"1,2,3,4,5,6,7"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40"/>
    <col collapsed="false" customWidth="true" hidden="false" outlineLevel="0" max="11" min="11" style="0" width="9"/>
    <col collapsed="false" customWidth="true" hidden="false" outlineLevel="0" max="13" min="12" style="0" width="8"/>
  </cols>
  <sheetData>
    <row r="1" customFormat="false" ht="20.1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3" customFormat="false" ht="30" hidden="false" customHeight="true" outlineLevel="0" collapsed="false">
      <c r="A3" s="8" t="s">
        <v>50</v>
      </c>
      <c r="B3" s="8" t="s">
        <v>143</v>
      </c>
      <c r="C3" s="8" t="s">
        <v>144</v>
      </c>
      <c r="D3" s="8" t="s">
        <v>145</v>
      </c>
      <c r="E3" s="8" t="s">
        <v>146</v>
      </c>
      <c r="F3" s="8" t="s">
        <v>147</v>
      </c>
      <c r="G3" s="8" t="s">
        <v>148</v>
      </c>
      <c r="H3" s="8" t="s">
        <v>149</v>
      </c>
      <c r="I3" s="8" t="s">
        <v>150</v>
      </c>
      <c r="J3" s="8" t="s">
        <v>151</v>
      </c>
      <c r="K3" s="8" t="s">
        <v>152</v>
      </c>
      <c r="L3" s="8" t="s">
        <v>153</v>
      </c>
      <c r="M3" s="8" t="s">
        <v>154</v>
      </c>
    </row>
    <row r="4" customFormat="false" ht="15" hidden="false" customHeight="false" outlineLevel="0" collapsed="false">
      <c r="A4" s="10" t="s">
        <v>61</v>
      </c>
      <c r="B4" s="11" t="s">
        <v>155</v>
      </c>
      <c r="C4" s="10" t="n">
        <v>3</v>
      </c>
      <c r="D4" s="11" t="s">
        <v>89</v>
      </c>
      <c r="E4" s="11" t="s">
        <v>156</v>
      </c>
      <c r="F4" s="10" t="s">
        <v>157</v>
      </c>
      <c r="G4" s="10" t="n">
        <v>6</v>
      </c>
      <c r="H4" s="10" t="n">
        <v>48</v>
      </c>
      <c r="I4" s="11" t="s">
        <v>89</v>
      </c>
      <c r="J4" s="13" t="s">
        <v>158</v>
      </c>
      <c r="K4" s="15" t="n">
        <f aca="false">IF(AND(D4="Y",F4="不採用"),1,IF(D4="","",0))</f>
        <v>1</v>
      </c>
      <c r="L4" s="15" t="n">
        <f aca="false">IF(AND(D4="N",F4="不採用"),1,IF(D4="","",0))</f>
        <v>0</v>
      </c>
      <c r="M4" s="15" t="n">
        <f aca="false">IF(AND(D4="Y",F4="採用"),1,IF(D4="","",0))</f>
        <v>0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5" t="str">
        <f aca="false">IF(AND(D5="Y",F5="不採用"),1,IF(D5="","",0))</f>
        <v/>
      </c>
      <c r="L5" s="15" t="str">
        <f aca="false">IF(AND(D5="N",F5="不採用"),1,IF(D5="","",0))</f>
        <v/>
      </c>
      <c r="M5" s="15" t="str">
        <f aca="false">IF(AND(D5="Y",F5="採用"),1,IF(D5="","",0))</f>
        <v/>
      </c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5" t="str">
        <f aca="false">IF(AND(D6="Y",F6="不採用"),1,IF(D6="","",0))</f>
        <v/>
      </c>
      <c r="L6" s="15" t="str">
        <f aca="false">IF(AND(D6="N",F6="不採用"),1,IF(D6="","",0))</f>
        <v/>
      </c>
      <c r="M6" s="15" t="str">
        <f aca="false">IF(AND(D6="Y",F6="採用"),1,IF(D6="","",0))</f>
        <v/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5" t="str">
        <f aca="false">IF(AND(D7="Y",F7="不採用"),1,IF(D7="","",0))</f>
        <v/>
      </c>
      <c r="L7" s="15" t="str">
        <f aca="false">IF(AND(D7="N",F7="不採用"),1,IF(D7="","",0))</f>
        <v/>
      </c>
      <c r="M7" s="15" t="str">
        <f aca="false">IF(AND(D7="Y",F7="採用"),1,IF(D7="","",0))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5" t="str">
        <f aca="false">IF(AND(D8="Y",F8="不採用"),1,IF(D8="","",0))</f>
        <v/>
      </c>
      <c r="L8" s="15" t="str">
        <f aca="false">IF(AND(D8="N",F8="不採用"),1,IF(D8="","",0))</f>
        <v/>
      </c>
      <c r="M8" s="15" t="str">
        <f aca="false">IF(AND(D8="Y",F8="採用"),1,IF(D8="","",0))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5" t="str">
        <f aca="false">IF(AND(D9="Y",F9="不採用"),1,IF(D9="","",0))</f>
        <v/>
      </c>
      <c r="L9" s="15" t="str">
        <f aca="false">IF(AND(D9="N",F9="不採用"),1,IF(D9="","",0))</f>
        <v/>
      </c>
      <c r="M9" s="15" t="str">
        <f aca="false">IF(AND(D9="Y",F9="採用"),1,IF(D9="","",0))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5" t="str">
        <f aca="false">IF(AND(D10="Y",F10="不採用"),1,IF(D10="","",0))</f>
        <v/>
      </c>
      <c r="L10" s="15" t="str">
        <f aca="false">IF(AND(D10="N",F10="不採用"),1,IF(D10="","",0))</f>
        <v/>
      </c>
      <c r="M10" s="15" t="str">
        <f aca="false">IF(AND(D10="Y",F10="採用"),1,IF(D10="","",0))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5" t="str">
        <f aca="false">IF(AND(D11="Y",F11="不採用"),1,IF(D11="","",0))</f>
        <v/>
      </c>
      <c r="L11" s="15" t="str">
        <f aca="false">IF(AND(D11="N",F11="不採用"),1,IF(D11="","",0))</f>
        <v/>
      </c>
      <c r="M11" s="15" t="str">
        <f aca="false">IF(AND(D11="Y",F11="採用"),1,IF(D11="","",0))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5" t="str">
        <f aca="false">IF(AND(D12="Y",F12="不採用"),1,IF(D12="","",0))</f>
        <v/>
      </c>
      <c r="L12" s="15" t="str">
        <f aca="false">IF(AND(D12="N",F12="不採用"),1,IF(D12="","",0))</f>
        <v/>
      </c>
      <c r="M12" s="15" t="str">
        <f aca="false">IF(AND(D12="Y",F12="採用"),1,IF(D12="","",0))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5" t="str">
        <f aca="false">IF(AND(D13="Y",F13="不採用"),1,IF(D13="","",0))</f>
        <v/>
      </c>
      <c r="L13" s="15" t="str">
        <f aca="false">IF(AND(D13="N",F13="不採用"),1,IF(D13="","",0))</f>
        <v/>
      </c>
      <c r="M13" s="15" t="str">
        <f aca="false">IF(AND(D13="Y",F13="採用"),1,IF(D13="","",0))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5" t="str">
        <f aca="false">IF(AND(D14="Y",F14="不採用"),1,IF(D14="","",0))</f>
        <v/>
      </c>
      <c r="L14" s="15" t="str">
        <f aca="false">IF(AND(D14="N",F14="不採用"),1,IF(D14="","",0))</f>
        <v/>
      </c>
      <c r="M14" s="15" t="str">
        <f aca="false">IF(AND(D14="Y",F14="採用"),1,IF(D14="","",0))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5" t="str">
        <f aca="false">IF(AND(D15="Y",F15="不採用"),1,IF(D15="","",0))</f>
        <v/>
      </c>
      <c r="L15" s="15" t="str">
        <f aca="false">IF(AND(D15="N",F15="不採用"),1,IF(D15="","",0))</f>
        <v/>
      </c>
      <c r="M15" s="15" t="str">
        <f aca="false">IF(AND(D15="Y",F15="採用"),1,IF(D15="","",0))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5" t="str">
        <f aca="false">IF(AND(D16="Y",F16="不採用"),1,IF(D16="","",0))</f>
        <v/>
      </c>
      <c r="L16" s="15" t="str">
        <f aca="false">IF(AND(D16="N",F16="不採用"),1,IF(D16="","",0))</f>
        <v/>
      </c>
      <c r="M16" s="15" t="str">
        <f aca="false">IF(AND(D16="Y",F16="採用"),1,IF(D16="","",0))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5" t="str">
        <f aca="false">IF(AND(D17="Y",F17="不採用"),1,IF(D17="","",0))</f>
        <v/>
      </c>
      <c r="L17" s="15" t="str">
        <f aca="false">IF(AND(D17="N",F17="不採用"),1,IF(D17="","",0))</f>
        <v/>
      </c>
      <c r="M17" s="15" t="str">
        <f aca="false">IF(AND(D17="Y",F17="採用"),1,IF(D17="","",0))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5" t="str">
        <f aca="false">IF(AND(D18="Y",F18="不採用"),1,IF(D18="","",0))</f>
        <v/>
      </c>
      <c r="L18" s="15" t="str">
        <f aca="false">IF(AND(D18="N",F18="不採用"),1,IF(D18="","",0))</f>
        <v/>
      </c>
      <c r="M18" s="15" t="str">
        <f aca="false">IF(AND(D18="Y",F18="採用"),1,IF(D18="","",0))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5" t="str">
        <f aca="false">IF(AND(D19="Y",F19="不採用"),1,IF(D19="","",0))</f>
        <v/>
      </c>
      <c r="L19" s="15" t="str">
        <f aca="false">IF(AND(D19="N",F19="不採用"),1,IF(D19="","",0))</f>
        <v/>
      </c>
      <c r="M19" s="15" t="str">
        <f aca="false">IF(AND(D19="Y",F19="採用"),1,IF(D19="","",0))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5" t="str">
        <f aca="false">IF(AND(D20="Y",F20="不採用"),1,IF(D20="","",0))</f>
        <v/>
      </c>
      <c r="L20" s="15" t="str">
        <f aca="false">IF(AND(D20="N",F20="不採用"),1,IF(D20="","",0))</f>
        <v/>
      </c>
      <c r="M20" s="15" t="str">
        <f aca="false">IF(AND(D20="Y",F20="採用"),1,IF(D20="","",0))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5" t="str">
        <f aca="false">IF(AND(D21="Y",F21="不採用"),1,IF(D21="","",0))</f>
        <v/>
      </c>
      <c r="L21" s="15" t="str">
        <f aca="false">IF(AND(D21="N",F21="不採用"),1,IF(D21="","",0))</f>
        <v/>
      </c>
      <c r="M21" s="15" t="str">
        <f aca="false">IF(AND(D21="Y",F21="採用"),1,IF(D21="","",0))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5" t="str">
        <f aca="false">IF(AND(D22="Y",F22="不採用"),1,IF(D22="","",0))</f>
        <v/>
      </c>
      <c r="L22" s="15" t="str">
        <f aca="false">IF(AND(D22="N",F22="不採用"),1,IF(D22="","",0))</f>
        <v/>
      </c>
      <c r="M22" s="15" t="str">
        <f aca="false">IF(AND(D22="Y",F22="採用"),1,IF(D22="","",0))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5" t="str">
        <f aca="false">IF(AND(D23="Y",F23="不採用"),1,IF(D23="","",0))</f>
        <v/>
      </c>
      <c r="L23" s="15" t="str">
        <f aca="false">IF(AND(D23="N",F23="不採用"),1,IF(D23="","",0))</f>
        <v/>
      </c>
      <c r="M23" s="15" t="str">
        <f aca="false">IF(AND(D23="Y",F23="採用"),1,IF(D23="","",0))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5" t="str">
        <f aca="false">IF(AND(D24="Y",F24="不採用"),1,IF(D24="","",0))</f>
        <v/>
      </c>
      <c r="L24" s="15" t="str">
        <f aca="false">IF(AND(D24="N",F24="不採用"),1,IF(D24="","",0))</f>
        <v/>
      </c>
      <c r="M24" s="15" t="str">
        <f aca="false">IF(AND(D24="Y",F24="採用"),1,IF(D24="","",0))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5" t="str">
        <f aca="false">IF(AND(D25="Y",F25="不採用"),1,IF(D25="","",0))</f>
        <v/>
      </c>
      <c r="L25" s="15" t="str">
        <f aca="false">IF(AND(D25="N",F25="不採用"),1,IF(D25="","",0))</f>
        <v/>
      </c>
      <c r="M25" s="15" t="str">
        <f aca="false">IF(AND(D25="Y",F25="採用"),1,IF(D25="","",0))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5" t="str">
        <f aca="false">IF(AND(D26="Y",F26="不採用"),1,IF(D26="","",0))</f>
        <v/>
      </c>
      <c r="L26" s="15" t="str">
        <f aca="false">IF(AND(D26="N",F26="不採用"),1,IF(D26="","",0))</f>
        <v/>
      </c>
      <c r="M26" s="15" t="str">
        <f aca="false">IF(AND(D26="Y",F26="採用"),1,IF(D26="","",0))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5" t="str">
        <f aca="false">IF(AND(D27="Y",F27="不採用"),1,IF(D27="","",0))</f>
        <v/>
      </c>
      <c r="L27" s="15" t="str">
        <f aca="false">IF(AND(D27="N",F27="不採用"),1,IF(D27="","",0))</f>
        <v/>
      </c>
      <c r="M27" s="15" t="str">
        <f aca="false">IF(AND(D27="Y",F27="採用"),1,IF(D27="","",0))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5" t="str">
        <f aca="false">IF(AND(D28="Y",F28="不採用"),1,IF(D28="","",0))</f>
        <v/>
      </c>
      <c r="L28" s="15" t="str">
        <f aca="false">IF(AND(D28="N",F28="不採用"),1,IF(D28="","",0))</f>
        <v/>
      </c>
      <c r="M28" s="15" t="str">
        <f aca="false">IF(AND(D28="Y",F28="採用"),1,IF(D28="","",0))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5" t="str">
        <f aca="false">IF(AND(D29="Y",F29="不採用"),1,IF(D29="","",0))</f>
        <v/>
      </c>
      <c r="L29" s="15" t="str">
        <f aca="false">IF(AND(D29="N",F29="不採用"),1,IF(D29="","",0))</f>
        <v/>
      </c>
      <c r="M29" s="15" t="str">
        <f aca="false">IF(AND(D29="Y",F29="採用"),1,IF(D29="","",0))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5" t="str">
        <f aca="false">IF(AND(D30="Y",F30="不採用"),1,IF(D30="","",0))</f>
        <v/>
      </c>
      <c r="L30" s="15" t="str">
        <f aca="false">IF(AND(D30="N",F30="不採用"),1,IF(D30="","",0))</f>
        <v/>
      </c>
      <c r="M30" s="15" t="str">
        <f aca="false">IF(AND(D30="Y",F30="採用"),1,IF(D30="","",0))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5" t="str">
        <f aca="false">IF(AND(D31="Y",F31="不採用"),1,IF(D31="","",0))</f>
        <v/>
      </c>
      <c r="L31" s="15" t="str">
        <f aca="false">IF(AND(D31="N",F31="不採用"),1,IF(D31="","",0))</f>
        <v/>
      </c>
      <c r="M31" s="15" t="str">
        <f aca="false">IF(AND(D31="Y",F31="採用"),1,IF(D31="","",0))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5" t="str">
        <f aca="false">IF(AND(D32="Y",F32="不採用"),1,IF(D32="","",0))</f>
        <v/>
      </c>
      <c r="L32" s="15" t="str">
        <f aca="false">IF(AND(D32="N",F32="不採用"),1,IF(D32="","",0))</f>
        <v/>
      </c>
      <c r="M32" s="15" t="str">
        <f aca="false">IF(AND(D32="Y",F32="採用"),1,IF(D32="","",0))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5" t="str">
        <f aca="false">IF(AND(D33="Y",F33="不採用"),1,IF(D33="","",0))</f>
        <v/>
      </c>
      <c r="L33" s="15" t="str">
        <f aca="false">IF(AND(D33="N",F33="不採用"),1,IF(D33="","",0))</f>
        <v/>
      </c>
      <c r="M33" s="15" t="str">
        <f aca="false">IF(AND(D33="Y",F33="採用"),1,IF(D33="","",0))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5" t="str">
        <f aca="false">IF(AND(D34="Y",F34="不採用"),1,IF(D34="","",0))</f>
        <v/>
      </c>
      <c r="L34" s="15" t="str">
        <f aca="false">IF(AND(D34="N",F34="不採用"),1,IF(D34="","",0))</f>
        <v/>
      </c>
      <c r="M34" s="15" t="str">
        <f aca="false">IF(AND(D34="Y",F34="採用"),1,IF(D34="","",0))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5" t="str">
        <f aca="false">IF(AND(D35="Y",F35="不採用"),1,IF(D35="","",0))</f>
        <v/>
      </c>
      <c r="L35" s="15" t="str">
        <f aca="false">IF(AND(D35="N",F35="不採用"),1,IF(D35="","",0))</f>
        <v/>
      </c>
      <c r="M35" s="15" t="str">
        <f aca="false">IF(AND(D35="Y",F35="採用"),1,IF(D35="","",0))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5" t="str">
        <f aca="false">IF(AND(D36="Y",F36="不採用"),1,IF(D36="","",0))</f>
        <v/>
      </c>
      <c r="L36" s="15" t="str">
        <f aca="false">IF(AND(D36="N",F36="不採用"),1,IF(D36="","",0))</f>
        <v/>
      </c>
      <c r="M36" s="15" t="str">
        <f aca="false">IF(AND(D36="Y",F36="採用"),1,IF(D36="","",0))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5" t="str">
        <f aca="false">IF(AND(D37="Y",F37="不採用"),1,IF(D37="","",0))</f>
        <v/>
      </c>
      <c r="L37" s="15" t="str">
        <f aca="false">IF(AND(D37="N",F37="不採用"),1,IF(D37="","",0))</f>
        <v/>
      </c>
      <c r="M37" s="15" t="str">
        <f aca="false">IF(AND(D37="Y",F37="採用"),1,IF(D37="","",0))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5" t="str">
        <f aca="false">IF(AND(D38="Y",F38="不採用"),1,IF(D38="","",0))</f>
        <v/>
      </c>
      <c r="L38" s="15" t="str">
        <f aca="false">IF(AND(D38="N",F38="不採用"),1,IF(D38="","",0))</f>
        <v/>
      </c>
      <c r="M38" s="15" t="str">
        <f aca="false">IF(AND(D38="Y",F38="採用"),1,IF(D38="","",0))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5" t="str">
        <f aca="false">IF(AND(D39="Y",F39="不採用"),1,IF(D39="","",0))</f>
        <v/>
      </c>
      <c r="L39" s="15" t="str">
        <f aca="false">IF(AND(D39="N",F39="不採用"),1,IF(D39="","",0))</f>
        <v/>
      </c>
      <c r="M39" s="15" t="str">
        <f aca="false">IF(AND(D39="Y",F39="採用"),1,IF(D39="","",0))</f>
        <v/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5" t="str">
        <f aca="false">IF(AND(D40="Y",F40="不採用"),1,IF(D40="","",0))</f>
        <v/>
      </c>
      <c r="L40" s="15" t="str">
        <f aca="false">IF(AND(D40="N",F40="不採用"),1,IF(D40="","",0))</f>
        <v/>
      </c>
      <c r="M40" s="15" t="str">
        <f aca="false">IF(AND(D40="Y",F40="採用"),1,IF(D40="","",0))</f>
        <v/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5" t="str">
        <f aca="false">IF(AND(D41="Y",F41="不採用"),1,IF(D41="","",0))</f>
        <v/>
      </c>
      <c r="L41" s="15" t="str">
        <f aca="false">IF(AND(D41="N",F41="不採用"),1,IF(D41="","",0))</f>
        <v/>
      </c>
      <c r="M41" s="15" t="str">
        <f aca="false">IF(AND(D41="Y",F41="採用"),1,IF(D41="","",0))</f>
        <v/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5" t="str">
        <f aca="false">IF(AND(D42="Y",F42="不採用"),1,IF(D42="","",0))</f>
        <v/>
      </c>
      <c r="L42" s="15" t="str">
        <f aca="false">IF(AND(D42="N",F42="不採用"),1,IF(D42="","",0))</f>
        <v/>
      </c>
      <c r="M42" s="15" t="str">
        <f aca="false">IF(AND(D42="Y",F42="採用"),1,IF(D42="","",0))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5" t="str">
        <f aca="false">IF(AND(D43="Y",F43="不採用"),1,IF(D43="","",0))</f>
        <v/>
      </c>
      <c r="L43" s="15" t="str">
        <f aca="false">IF(AND(D43="N",F43="不採用"),1,IF(D43="","",0))</f>
        <v/>
      </c>
      <c r="M43" s="15" t="str">
        <f aca="false">IF(AND(D43="Y",F43="採用"),1,IF(D43="","",0))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5" t="str">
        <f aca="false">IF(AND(D44="Y",F44="不採用"),1,IF(D44="","",0))</f>
        <v/>
      </c>
      <c r="L44" s="15" t="str">
        <f aca="false">IF(AND(D44="N",F44="不採用"),1,IF(D44="","",0))</f>
        <v/>
      </c>
      <c r="M44" s="15" t="str">
        <f aca="false">IF(AND(D44="Y",F44="採用"),1,IF(D44="","",0))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5" t="str">
        <f aca="false">IF(AND(D45="Y",F45="不採用"),1,IF(D45="","",0))</f>
        <v/>
      </c>
      <c r="L45" s="15" t="str">
        <f aca="false">IF(AND(D45="N",F45="不採用"),1,IF(D45="","",0))</f>
        <v/>
      </c>
      <c r="M45" s="15" t="str">
        <f aca="false">IF(AND(D45="Y",F45="採用"),1,IF(D45="","",0))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5" t="str">
        <f aca="false">IF(AND(D46="Y",F46="不採用"),1,IF(D46="","",0))</f>
        <v/>
      </c>
      <c r="L46" s="15" t="str">
        <f aca="false">IF(AND(D46="N",F46="不採用"),1,IF(D46="","",0))</f>
        <v/>
      </c>
      <c r="M46" s="15" t="str">
        <f aca="false">IF(AND(D46="Y",F46="採用"),1,IF(D46="","",0))</f>
        <v/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5" t="str">
        <f aca="false">IF(AND(D47="Y",F47="不採用"),1,IF(D47="","",0))</f>
        <v/>
      </c>
      <c r="L47" s="15" t="str">
        <f aca="false">IF(AND(D47="N",F47="不採用"),1,IF(D47="","",0))</f>
        <v/>
      </c>
      <c r="M47" s="15" t="str">
        <f aca="false">IF(AND(D47="Y",F47="採用"),1,IF(D47="","",0))</f>
        <v/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5" t="str">
        <f aca="false">IF(AND(D48="Y",F48="不採用"),1,IF(D48="","",0))</f>
        <v/>
      </c>
      <c r="L48" s="15" t="str">
        <f aca="false">IF(AND(D48="N",F48="不採用"),1,IF(D48="","",0))</f>
        <v/>
      </c>
      <c r="M48" s="15" t="str">
        <f aca="false">IF(AND(D48="Y",F48="採用"),1,IF(D48="","",0))</f>
        <v/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5" t="str">
        <f aca="false">IF(AND(D49="Y",F49="不採用"),1,IF(D49="","",0))</f>
        <v/>
      </c>
      <c r="L49" s="15" t="str">
        <f aca="false">IF(AND(D49="N",F49="不採用"),1,IF(D49="","",0))</f>
        <v/>
      </c>
      <c r="M49" s="15" t="str">
        <f aca="false">IF(AND(D49="Y",F49="採用"),1,IF(D49="","",0))</f>
        <v/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5" t="str">
        <f aca="false">IF(AND(D50="Y",F50="不採用"),1,IF(D50="","",0))</f>
        <v/>
      </c>
      <c r="L50" s="15" t="str">
        <f aca="false">IF(AND(D50="N",F50="不採用"),1,IF(D50="","",0))</f>
        <v/>
      </c>
      <c r="M50" s="15" t="str">
        <f aca="false">IF(AND(D50="Y",F50="採用"),1,IF(D50="","",0))</f>
        <v/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5" t="str">
        <f aca="false">IF(AND(D51="Y",F51="不採用"),1,IF(D51="","",0))</f>
        <v/>
      </c>
      <c r="L51" s="15" t="str">
        <f aca="false">IF(AND(D51="N",F51="不採用"),1,IF(D51="","",0))</f>
        <v/>
      </c>
      <c r="M51" s="15" t="str">
        <f aca="false">IF(AND(D51="Y",F51="採用"),1,IF(D51="","",0))</f>
        <v/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5" t="str">
        <f aca="false">IF(AND(D52="Y",F52="不採用"),1,IF(D52="","",0))</f>
        <v/>
      </c>
      <c r="L52" s="15" t="str">
        <f aca="false">IF(AND(D52="N",F52="不採用"),1,IF(D52="","",0))</f>
        <v/>
      </c>
      <c r="M52" s="15" t="str">
        <f aca="false">IF(AND(D52="Y",F52="採用"),1,IF(D52="","",0))</f>
        <v/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5" t="str">
        <f aca="false">IF(AND(D53="Y",F53="不採用"),1,IF(D53="","",0))</f>
        <v/>
      </c>
      <c r="L53" s="15" t="str">
        <f aca="false">IF(AND(D53="N",F53="不採用"),1,IF(D53="","",0))</f>
        <v/>
      </c>
      <c r="M53" s="15" t="str">
        <f aca="false">IF(AND(D53="Y",F53="採用"),1,IF(D53="","",0))</f>
        <v/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5" t="str">
        <f aca="false">IF(AND(D54="Y",F54="不採用"),1,IF(D54="","",0))</f>
        <v/>
      </c>
      <c r="L54" s="15" t="str">
        <f aca="false">IF(AND(D54="N",F54="不採用"),1,IF(D54="","",0))</f>
        <v/>
      </c>
      <c r="M54" s="15" t="str">
        <f aca="false">IF(AND(D54="Y",F54="採用"),1,IF(D54="","",0))</f>
        <v/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5" t="str">
        <f aca="false">IF(AND(D55="Y",F55="不採用"),1,IF(D55="","",0))</f>
        <v/>
      </c>
      <c r="L55" s="15" t="str">
        <f aca="false">IF(AND(D55="N",F55="不採用"),1,IF(D55="","",0))</f>
        <v/>
      </c>
      <c r="M55" s="15" t="str">
        <f aca="false">IF(AND(D55="Y",F55="採用"),1,IF(D55="","",0))</f>
        <v/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5" t="str">
        <f aca="false">IF(AND(D56="Y",F56="不採用"),1,IF(D56="","",0))</f>
        <v/>
      </c>
      <c r="L56" s="15" t="str">
        <f aca="false">IF(AND(D56="N",F56="不採用"),1,IF(D56="","",0))</f>
        <v/>
      </c>
      <c r="M56" s="15" t="str">
        <f aca="false">IF(AND(D56="Y",F56="採用"),1,IF(D56="","",0))</f>
        <v/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5" t="str">
        <f aca="false">IF(AND(D57="Y",F57="不採用"),1,IF(D57="","",0))</f>
        <v/>
      </c>
      <c r="L57" s="15" t="str">
        <f aca="false">IF(AND(D57="N",F57="不採用"),1,IF(D57="","",0))</f>
        <v/>
      </c>
      <c r="M57" s="15" t="str">
        <f aca="false">IF(AND(D57="Y",F57="採用"),1,IF(D57="","",0))</f>
        <v/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5" t="str">
        <f aca="false">IF(AND(D58="Y",F58="不採用"),1,IF(D58="","",0))</f>
        <v/>
      </c>
      <c r="L58" s="15" t="str">
        <f aca="false">IF(AND(D58="N",F58="不採用"),1,IF(D58="","",0))</f>
        <v/>
      </c>
      <c r="M58" s="15" t="str">
        <f aca="false">IF(AND(D58="Y",F58="採用"),1,IF(D58="","",0))</f>
        <v/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5" t="str">
        <f aca="false">IF(AND(D59="Y",F59="不採用"),1,IF(D59="","",0))</f>
        <v/>
      </c>
      <c r="L59" s="15" t="str">
        <f aca="false">IF(AND(D59="N",F59="不採用"),1,IF(D59="","",0))</f>
        <v/>
      </c>
      <c r="M59" s="15" t="str">
        <f aca="false">IF(AND(D59="Y",F59="採用"),1,IF(D59="","",0))</f>
        <v/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5" t="str">
        <f aca="false">IF(AND(D60="Y",F60="不採用"),1,IF(D60="","",0))</f>
        <v/>
      </c>
      <c r="L60" s="15" t="str">
        <f aca="false">IF(AND(D60="N",F60="不採用"),1,IF(D60="","",0))</f>
        <v/>
      </c>
      <c r="M60" s="15" t="str">
        <f aca="false">IF(AND(D60="Y",F60="採用"),1,IF(D60="","",0))</f>
        <v/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5" t="str">
        <f aca="false">IF(AND(D61="Y",F61="不採用"),1,IF(D61="","",0))</f>
        <v/>
      </c>
      <c r="L61" s="15" t="str">
        <f aca="false">IF(AND(D61="N",F61="不採用"),1,IF(D61="","",0))</f>
        <v/>
      </c>
      <c r="M61" s="15" t="str">
        <f aca="false">IF(AND(D61="Y",F61="採用"),1,IF(D61="","",0))</f>
        <v/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5" t="str">
        <f aca="false">IF(AND(D62="Y",F62="不採用"),1,IF(D62="","",0))</f>
        <v/>
      </c>
      <c r="L62" s="15" t="str">
        <f aca="false">IF(AND(D62="N",F62="不採用"),1,IF(D62="","",0))</f>
        <v/>
      </c>
      <c r="M62" s="15" t="str">
        <f aca="false">IF(AND(D62="Y",F62="採用"),1,IF(D62="","",0))</f>
        <v/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5" t="str">
        <f aca="false">IF(AND(D63="Y",F63="不採用"),1,IF(D63="","",0))</f>
        <v/>
      </c>
      <c r="L63" s="15" t="str">
        <f aca="false">IF(AND(D63="N",F63="不採用"),1,IF(D63="","",0))</f>
        <v/>
      </c>
      <c r="M63" s="15" t="str">
        <f aca="false">IF(AND(D63="Y",F63="採用"),1,IF(D63="","",0))</f>
        <v/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5" t="str">
        <f aca="false">IF(AND(D64="Y",F64="不採用"),1,IF(D64="","",0))</f>
        <v/>
      </c>
      <c r="L64" s="15" t="str">
        <f aca="false">IF(AND(D64="N",F64="不採用"),1,IF(D64="","",0))</f>
        <v/>
      </c>
      <c r="M64" s="15" t="str">
        <f aca="false">IF(AND(D64="Y",F64="採用"),1,IF(D64="","",0))</f>
        <v/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5" t="str">
        <f aca="false">IF(AND(D65="Y",F65="不採用"),1,IF(D65="","",0))</f>
        <v/>
      </c>
      <c r="L65" s="15" t="str">
        <f aca="false">IF(AND(D65="N",F65="不採用"),1,IF(D65="","",0))</f>
        <v/>
      </c>
      <c r="M65" s="15" t="str">
        <f aca="false">IF(AND(D65="Y",F65="採用"),1,IF(D65="","",0))</f>
        <v/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5" t="str">
        <f aca="false">IF(AND(D66="Y",F66="不採用"),1,IF(D66="","",0))</f>
        <v/>
      </c>
      <c r="L66" s="15" t="str">
        <f aca="false">IF(AND(D66="N",F66="不採用"),1,IF(D66="","",0))</f>
        <v/>
      </c>
      <c r="M66" s="15" t="str">
        <f aca="false">IF(AND(D66="Y",F66="採用"),1,IF(D66="","",0))</f>
        <v/>
      </c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5" t="str">
        <f aca="false">IF(AND(D67="Y",F67="不採用"),1,IF(D67="","",0))</f>
        <v/>
      </c>
      <c r="L67" s="15" t="str">
        <f aca="false">IF(AND(D67="N",F67="不採用"),1,IF(D67="","",0))</f>
        <v/>
      </c>
      <c r="M67" s="15" t="str">
        <f aca="false">IF(AND(D67="Y",F67="採用"),1,IF(D67="","",0))</f>
        <v/>
      </c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5" t="str">
        <f aca="false">IF(AND(D68="Y",F68="不採用"),1,IF(D68="","",0))</f>
        <v/>
      </c>
      <c r="L68" s="15" t="str">
        <f aca="false">IF(AND(D68="N",F68="不採用"),1,IF(D68="","",0))</f>
        <v/>
      </c>
      <c r="M68" s="15" t="str">
        <f aca="false">IF(AND(D68="Y",F68="採用"),1,IF(D68="","",0))</f>
        <v/>
      </c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5" t="str">
        <f aca="false">IF(AND(D69="Y",F69="不採用"),1,IF(D69="","",0))</f>
        <v/>
      </c>
      <c r="L69" s="15" t="str">
        <f aca="false">IF(AND(D69="N",F69="不採用"),1,IF(D69="","",0))</f>
        <v/>
      </c>
      <c r="M69" s="15" t="str">
        <f aca="false">IF(AND(D69="Y",F69="採用"),1,IF(D69="","",0))</f>
        <v/>
      </c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5" t="str">
        <f aca="false">IF(AND(D70="Y",F70="不採用"),1,IF(D70="","",0))</f>
        <v/>
      </c>
      <c r="L70" s="15" t="str">
        <f aca="false">IF(AND(D70="N",F70="不採用"),1,IF(D70="","",0))</f>
        <v/>
      </c>
      <c r="M70" s="15" t="str">
        <f aca="false">IF(AND(D70="Y",F70="採用"),1,IF(D70="","",0))</f>
        <v/>
      </c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5" t="str">
        <f aca="false">IF(AND(D71="Y",F71="不採用"),1,IF(D71="","",0))</f>
        <v/>
      </c>
      <c r="L71" s="15" t="str">
        <f aca="false">IF(AND(D71="N",F71="不採用"),1,IF(D71="","",0))</f>
        <v/>
      </c>
      <c r="M71" s="15" t="str">
        <f aca="false">IF(AND(D71="Y",F71="採用"),1,IF(D71="","",0))</f>
        <v/>
      </c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5" t="str">
        <f aca="false">IF(AND(D72="Y",F72="不採用"),1,IF(D72="","",0))</f>
        <v/>
      </c>
      <c r="L72" s="15" t="str">
        <f aca="false">IF(AND(D72="N",F72="不採用"),1,IF(D72="","",0))</f>
        <v/>
      </c>
      <c r="M72" s="15" t="str">
        <f aca="false">IF(AND(D72="Y",F72="採用"),1,IF(D72="","",0))</f>
        <v/>
      </c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5" t="str">
        <f aca="false">IF(AND(D73="Y",F73="不採用"),1,IF(D73="","",0))</f>
        <v/>
      </c>
      <c r="L73" s="15" t="str">
        <f aca="false">IF(AND(D73="N",F73="不採用"),1,IF(D73="","",0))</f>
        <v/>
      </c>
      <c r="M73" s="15" t="str">
        <f aca="false">IF(AND(D73="Y",F73="採用"),1,IF(D73="","",0))</f>
        <v/>
      </c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5" t="str">
        <f aca="false">IF(AND(D74="Y",F74="不採用"),1,IF(D74="","",0))</f>
        <v/>
      </c>
      <c r="L74" s="15" t="str">
        <f aca="false">IF(AND(D74="N",F74="不採用"),1,IF(D74="","",0))</f>
        <v/>
      </c>
      <c r="M74" s="15" t="str">
        <f aca="false">IF(AND(D74="Y",F74="採用"),1,IF(D74="","",0))</f>
        <v/>
      </c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5" t="str">
        <f aca="false">IF(AND(D75="Y",F75="不採用"),1,IF(D75="","",0))</f>
        <v/>
      </c>
      <c r="L75" s="15" t="str">
        <f aca="false">IF(AND(D75="N",F75="不採用"),1,IF(D75="","",0))</f>
        <v/>
      </c>
      <c r="M75" s="15" t="str">
        <f aca="false">IF(AND(D75="Y",F75="採用"),1,IF(D75="","",0))</f>
        <v/>
      </c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5" t="str">
        <f aca="false">IF(AND(D76="Y",F76="不採用"),1,IF(D76="","",0))</f>
        <v/>
      </c>
      <c r="L76" s="15" t="str">
        <f aca="false">IF(AND(D76="N",F76="不採用"),1,IF(D76="","",0))</f>
        <v/>
      </c>
      <c r="M76" s="15" t="str">
        <f aca="false">IF(AND(D76="Y",F76="採用"),1,IF(D76="","",0))</f>
        <v/>
      </c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5" t="str">
        <f aca="false">IF(AND(D77="Y",F77="不採用"),1,IF(D77="","",0))</f>
        <v/>
      </c>
      <c r="L77" s="15" t="str">
        <f aca="false">IF(AND(D77="N",F77="不採用"),1,IF(D77="","",0))</f>
        <v/>
      </c>
      <c r="M77" s="15" t="str">
        <f aca="false">IF(AND(D77="Y",F77="採用"),1,IF(D77="","",0))</f>
        <v/>
      </c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5" t="str">
        <f aca="false">IF(AND(D78="Y",F78="不採用"),1,IF(D78="","",0))</f>
        <v/>
      </c>
      <c r="L78" s="15" t="str">
        <f aca="false">IF(AND(D78="N",F78="不採用"),1,IF(D78="","",0))</f>
        <v/>
      </c>
      <c r="M78" s="15" t="str">
        <f aca="false">IF(AND(D78="Y",F78="採用"),1,IF(D78="","",0))</f>
        <v/>
      </c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5" t="str">
        <f aca="false">IF(AND(D79="Y",F79="不採用"),1,IF(D79="","",0))</f>
        <v/>
      </c>
      <c r="L79" s="15" t="str">
        <f aca="false">IF(AND(D79="N",F79="不採用"),1,IF(D79="","",0))</f>
        <v/>
      </c>
      <c r="M79" s="15" t="str">
        <f aca="false">IF(AND(D79="Y",F79="採用"),1,IF(D79="","",0))</f>
        <v/>
      </c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5" t="str">
        <f aca="false">IF(AND(D80="Y",F80="不採用"),1,IF(D80="","",0))</f>
        <v/>
      </c>
      <c r="L80" s="15" t="str">
        <f aca="false">IF(AND(D80="N",F80="不採用"),1,IF(D80="","",0))</f>
        <v/>
      </c>
      <c r="M80" s="15" t="str">
        <f aca="false">IF(AND(D80="Y",F80="採用"),1,IF(D80="","",0))</f>
        <v/>
      </c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5" t="str">
        <f aca="false">IF(AND(D81="Y",F81="不採用"),1,IF(D81="","",0))</f>
        <v/>
      </c>
      <c r="L81" s="15" t="str">
        <f aca="false">IF(AND(D81="N",F81="不採用"),1,IF(D81="","",0))</f>
        <v/>
      </c>
      <c r="M81" s="15" t="str">
        <f aca="false">IF(AND(D81="Y",F81="採用"),1,IF(D81="","",0))</f>
        <v/>
      </c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5" t="str">
        <f aca="false">IF(AND(D82="Y",F82="不採用"),1,IF(D82="","",0))</f>
        <v/>
      </c>
      <c r="L82" s="15" t="str">
        <f aca="false">IF(AND(D82="N",F82="不採用"),1,IF(D82="","",0))</f>
        <v/>
      </c>
      <c r="M82" s="15" t="str">
        <f aca="false">IF(AND(D82="Y",F82="採用"),1,IF(D82="","",0))</f>
        <v/>
      </c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5" t="str">
        <f aca="false">IF(AND(D83="Y",F83="不採用"),1,IF(D83="","",0))</f>
        <v/>
      </c>
      <c r="L83" s="15" t="str">
        <f aca="false">IF(AND(D83="N",F83="不採用"),1,IF(D83="","",0))</f>
        <v/>
      </c>
      <c r="M83" s="15" t="str">
        <f aca="false">IF(AND(D83="Y",F83="採用"),1,IF(D83="","",0))</f>
        <v/>
      </c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5" t="str">
        <f aca="false">IF(AND(D84="Y",F84="不採用"),1,IF(D84="","",0))</f>
        <v/>
      </c>
      <c r="L84" s="15" t="str">
        <f aca="false">IF(AND(D84="N",F84="不採用"),1,IF(D84="","",0))</f>
        <v/>
      </c>
      <c r="M84" s="15" t="str">
        <f aca="false">IF(AND(D84="Y",F84="採用"),1,IF(D84="","",0))</f>
        <v/>
      </c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5" t="str">
        <f aca="false">IF(AND(D85="Y",F85="不採用"),1,IF(D85="","",0))</f>
        <v/>
      </c>
      <c r="L85" s="15" t="str">
        <f aca="false">IF(AND(D85="N",F85="不採用"),1,IF(D85="","",0))</f>
        <v/>
      </c>
      <c r="M85" s="15" t="str">
        <f aca="false">IF(AND(D85="Y",F85="採用"),1,IF(D85="","",0))</f>
        <v/>
      </c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5" t="str">
        <f aca="false">IF(AND(D86="Y",F86="不採用"),1,IF(D86="","",0))</f>
        <v/>
      </c>
      <c r="L86" s="15" t="str">
        <f aca="false">IF(AND(D86="N",F86="不採用"),1,IF(D86="","",0))</f>
        <v/>
      </c>
      <c r="M86" s="15" t="str">
        <f aca="false">IF(AND(D86="Y",F86="採用"),1,IF(D86="","",0))</f>
        <v/>
      </c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5" t="str">
        <f aca="false">IF(AND(D87="Y",F87="不採用"),1,IF(D87="","",0))</f>
        <v/>
      </c>
      <c r="L87" s="15" t="str">
        <f aca="false">IF(AND(D87="N",F87="不採用"),1,IF(D87="","",0))</f>
        <v/>
      </c>
      <c r="M87" s="15" t="str">
        <f aca="false">IF(AND(D87="Y",F87="採用"),1,IF(D87="","",0))</f>
        <v/>
      </c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5" t="str">
        <f aca="false">IF(AND(D88="Y",F88="不採用"),1,IF(D88="","",0))</f>
        <v/>
      </c>
      <c r="L88" s="15" t="str">
        <f aca="false">IF(AND(D88="N",F88="不採用"),1,IF(D88="","",0))</f>
        <v/>
      </c>
      <c r="M88" s="15" t="str">
        <f aca="false">IF(AND(D88="Y",F88="採用"),1,IF(D88="","",0))</f>
        <v/>
      </c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5" t="str">
        <f aca="false">IF(AND(D89="Y",F89="不採用"),1,IF(D89="","",0))</f>
        <v/>
      </c>
      <c r="L89" s="15" t="str">
        <f aca="false">IF(AND(D89="N",F89="不採用"),1,IF(D89="","",0))</f>
        <v/>
      </c>
      <c r="M89" s="15" t="str">
        <f aca="false">IF(AND(D89="Y",F89="採用"),1,IF(D89="","",0))</f>
        <v/>
      </c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5" t="str">
        <f aca="false">IF(AND(D90="Y",F90="不採用"),1,IF(D90="","",0))</f>
        <v/>
      </c>
      <c r="L90" s="15" t="str">
        <f aca="false">IF(AND(D90="N",F90="不採用"),1,IF(D90="","",0))</f>
        <v/>
      </c>
      <c r="M90" s="15" t="str">
        <f aca="false">IF(AND(D90="Y",F90="採用"),1,IF(D90="","",0))</f>
        <v/>
      </c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5" t="str">
        <f aca="false">IF(AND(D91="Y",F91="不採用"),1,IF(D91="","",0))</f>
        <v/>
      </c>
      <c r="L91" s="15" t="str">
        <f aca="false">IF(AND(D91="N",F91="不採用"),1,IF(D91="","",0))</f>
        <v/>
      </c>
      <c r="M91" s="15" t="str">
        <f aca="false">IF(AND(D91="Y",F91="採用"),1,IF(D91="","",0))</f>
        <v/>
      </c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5" t="str">
        <f aca="false">IF(AND(D92="Y",F92="不採用"),1,IF(D92="","",0))</f>
        <v/>
      </c>
      <c r="L92" s="15" t="str">
        <f aca="false">IF(AND(D92="N",F92="不採用"),1,IF(D92="","",0))</f>
        <v/>
      </c>
      <c r="M92" s="15" t="str">
        <f aca="false">IF(AND(D92="Y",F92="採用"),1,IF(D92="","",0))</f>
        <v/>
      </c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5" t="str">
        <f aca="false">IF(AND(D93="Y",F93="不採用"),1,IF(D93="","",0))</f>
        <v/>
      </c>
      <c r="L93" s="15" t="str">
        <f aca="false">IF(AND(D93="N",F93="不採用"),1,IF(D93="","",0))</f>
        <v/>
      </c>
      <c r="M93" s="15" t="str">
        <f aca="false">IF(AND(D93="Y",F93="採用"),1,IF(D93="","",0))</f>
        <v/>
      </c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5" t="str">
        <f aca="false">IF(AND(D94="Y",F94="不採用"),1,IF(D94="","",0))</f>
        <v/>
      </c>
      <c r="L94" s="15" t="str">
        <f aca="false">IF(AND(D94="N",F94="不採用"),1,IF(D94="","",0))</f>
        <v/>
      </c>
      <c r="M94" s="15" t="str">
        <f aca="false">IF(AND(D94="Y",F94="採用"),1,IF(D94="","",0))</f>
        <v/>
      </c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5" t="str">
        <f aca="false">IF(AND(D95="Y",F95="不採用"),1,IF(D95="","",0))</f>
        <v/>
      </c>
      <c r="L95" s="15" t="str">
        <f aca="false">IF(AND(D95="N",F95="不採用"),1,IF(D95="","",0))</f>
        <v/>
      </c>
      <c r="M95" s="15" t="str">
        <f aca="false">IF(AND(D95="Y",F95="採用"),1,IF(D95="","",0))</f>
        <v/>
      </c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5" t="str">
        <f aca="false">IF(AND(D96="Y",F96="不採用"),1,IF(D96="","",0))</f>
        <v/>
      </c>
      <c r="L96" s="15" t="str">
        <f aca="false">IF(AND(D96="N",F96="不採用"),1,IF(D96="","",0))</f>
        <v/>
      </c>
      <c r="M96" s="15" t="str">
        <f aca="false">IF(AND(D96="Y",F96="採用"),1,IF(D96="","",0))</f>
        <v/>
      </c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5" t="str">
        <f aca="false">IF(AND(D97="Y",F97="不採用"),1,IF(D97="","",0))</f>
        <v/>
      </c>
      <c r="L97" s="15" t="str">
        <f aca="false">IF(AND(D97="N",F97="不採用"),1,IF(D97="","",0))</f>
        <v/>
      </c>
      <c r="M97" s="15" t="str">
        <f aca="false">IF(AND(D97="Y",F97="採用"),1,IF(D97="","",0))</f>
        <v/>
      </c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5" t="str">
        <f aca="false">IF(AND(D98="Y",F98="不採用"),1,IF(D98="","",0))</f>
        <v/>
      </c>
      <c r="L98" s="15" t="str">
        <f aca="false">IF(AND(D98="N",F98="不採用"),1,IF(D98="","",0))</f>
        <v/>
      </c>
      <c r="M98" s="15" t="str">
        <f aca="false">IF(AND(D98="Y",F98="採用"),1,IF(D98="","",0))</f>
        <v/>
      </c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5" t="str">
        <f aca="false">IF(AND(D99="Y",F99="不採用"),1,IF(D99="","",0))</f>
        <v/>
      </c>
      <c r="L99" s="15" t="str">
        <f aca="false">IF(AND(D99="N",F99="不採用"),1,IF(D99="","",0))</f>
        <v/>
      </c>
      <c r="M99" s="15" t="str">
        <f aca="false">IF(AND(D99="Y",F99="採用"),1,IF(D99="","",0))</f>
        <v/>
      </c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5" t="str">
        <f aca="false">IF(AND(D100="Y",F100="不採用"),1,IF(D100="","",0))</f>
        <v/>
      </c>
      <c r="L100" s="15" t="str">
        <f aca="false">IF(AND(D100="N",F100="不採用"),1,IF(D100="","",0))</f>
        <v/>
      </c>
      <c r="M100" s="15" t="str">
        <f aca="false">IF(AND(D100="Y",F100="採用"),1,IF(D100="","",0))</f>
        <v/>
      </c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5" t="str">
        <f aca="false">IF(AND(D101="Y",F101="不採用"),1,IF(D101="","",0))</f>
        <v/>
      </c>
      <c r="L101" s="15" t="str">
        <f aca="false">IF(AND(D101="N",F101="不採用"),1,IF(D101="","",0))</f>
        <v/>
      </c>
      <c r="M101" s="15" t="str">
        <f aca="false">IF(AND(D101="Y",F101="採用"),1,IF(D101="","",0))</f>
        <v/>
      </c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5" t="str">
        <f aca="false">IF(AND(D102="Y",F102="不採用"),1,IF(D102="","",0))</f>
        <v/>
      </c>
      <c r="L102" s="15" t="str">
        <f aca="false">IF(AND(D102="N",F102="不採用"),1,IF(D102="","",0))</f>
        <v/>
      </c>
      <c r="M102" s="15" t="str">
        <f aca="false">IF(AND(D102="Y",F102="採用"),1,IF(D102="","",0))</f>
        <v/>
      </c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5" t="str">
        <f aca="false">IF(AND(D103="Y",F103="不採用"),1,IF(D103="","",0))</f>
        <v/>
      </c>
      <c r="L103" s="15" t="str">
        <f aca="false">IF(AND(D103="N",F103="不採用"),1,IF(D103="","",0))</f>
        <v/>
      </c>
      <c r="M103" s="15" t="str">
        <f aca="false">IF(AND(D103="Y",F103="採用"),1,IF(D103="","",0))</f>
        <v/>
      </c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5" t="str">
        <f aca="false">IF(AND(D104="Y",F104="不採用"),1,IF(D104="","",0))</f>
        <v/>
      </c>
      <c r="L104" s="15" t="str">
        <f aca="false">IF(AND(D104="N",F104="不採用"),1,IF(D104="","",0))</f>
        <v/>
      </c>
      <c r="M104" s="15" t="str">
        <f aca="false">IF(AND(D104="Y",F104="採用"),1,IF(D104="","",0))</f>
        <v/>
      </c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5" t="str">
        <f aca="false">IF(AND(D105="Y",F105="不採用"),1,IF(D105="","",0))</f>
        <v/>
      </c>
      <c r="L105" s="15" t="str">
        <f aca="false">IF(AND(D105="N",F105="不採用"),1,IF(D105="","",0))</f>
        <v/>
      </c>
      <c r="M105" s="15" t="str">
        <f aca="false">IF(AND(D105="Y",F105="採用"),1,IF(D105="","",0))</f>
        <v/>
      </c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5" t="str">
        <f aca="false">IF(AND(D106="Y",F106="不採用"),1,IF(D106="","",0))</f>
        <v/>
      </c>
      <c r="L106" s="15" t="str">
        <f aca="false">IF(AND(D106="N",F106="不採用"),1,IF(D106="","",0))</f>
        <v/>
      </c>
      <c r="M106" s="15" t="str">
        <f aca="false">IF(AND(D106="Y",F106="採用"),1,IF(D106="","",0))</f>
        <v/>
      </c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5" t="str">
        <f aca="false">IF(AND(D107="Y",F107="不採用"),1,IF(D107="","",0))</f>
        <v/>
      </c>
      <c r="L107" s="15" t="str">
        <f aca="false">IF(AND(D107="N",F107="不採用"),1,IF(D107="","",0))</f>
        <v/>
      </c>
      <c r="M107" s="15" t="str">
        <f aca="false">IF(AND(D107="Y",F107="採用"),1,IF(D107="","",0))</f>
        <v/>
      </c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5" t="str">
        <f aca="false">IF(AND(D108="Y",F108="不採用"),1,IF(D108="","",0))</f>
        <v/>
      </c>
      <c r="L108" s="15" t="str">
        <f aca="false">IF(AND(D108="N",F108="不採用"),1,IF(D108="","",0))</f>
        <v/>
      </c>
      <c r="M108" s="15" t="str">
        <f aca="false">IF(AND(D108="Y",F108="採用"),1,IF(D108="","",0))</f>
        <v/>
      </c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5" t="str">
        <f aca="false">IF(AND(D109="Y",F109="不採用"),1,IF(D109="","",0))</f>
        <v/>
      </c>
      <c r="L109" s="15" t="str">
        <f aca="false">IF(AND(D109="N",F109="不採用"),1,IF(D109="","",0))</f>
        <v/>
      </c>
      <c r="M109" s="15" t="str">
        <f aca="false">IF(AND(D109="Y",F109="採用"),1,IF(D109="","",0))</f>
        <v/>
      </c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5" t="str">
        <f aca="false">IF(AND(D110="Y",F110="不採用"),1,IF(D110="","",0))</f>
        <v/>
      </c>
      <c r="L110" s="15" t="str">
        <f aca="false">IF(AND(D110="N",F110="不採用"),1,IF(D110="","",0))</f>
        <v/>
      </c>
      <c r="M110" s="15" t="str">
        <f aca="false">IF(AND(D110="Y",F110="採用"),1,IF(D110="","",0))</f>
        <v/>
      </c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5" t="str">
        <f aca="false">IF(AND(D111="Y",F111="不採用"),1,IF(D111="","",0))</f>
        <v/>
      </c>
      <c r="L111" s="15" t="str">
        <f aca="false">IF(AND(D111="N",F111="不採用"),1,IF(D111="","",0))</f>
        <v/>
      </c>
      <c r="M111" s="15" t="str">
        <f aca="false">IF(AND(D111="Y",F111="採用"),1,IF(D111="","",0))</f>
        <v/>
      </c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5" t="str">
        <f aca="false">IF(AND(D112="Y",F112="不採用"),1,IF(D112="","",0))</f>
        <v/>
      </c>
      <c r="L112" s="15" t="str">
        <f aca="false">IF(AND(D112="N",F112="不採用"),1,IF(D112="","",0))</f>
        <v/>
      </c>
      <c r="M112" s="15" t="str">
        <f aca="false">IF(AND(D112="Y",F112="採用"),1,IF(D112="","",0))</f>
        <v/>
      </c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5" t="str">
        <f aca="false">IF(AND(D113="Y",F113="不採用"),1,IF(D113="","",0))</f>
        <v/>
      </c>
      <c r="L113" s="15" t="str">
        <f aca="false">IF(AND(D113="N",F113="不採用"),1,IF(D113="","",0))</f>
        <v/>
      </c>
      <c r="M113" s="15" t="str">
        <f aca="false">IF(AND(D113="Y",F113="採用"),1,IF(D113="","",0))</f>
        <v/>
      </c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5" t="str">
        <f aca="false">IF(AND(D114="Y",F114="不採用"),1,IF(D114="","",0))</f>
        <v/>
      </c>
      <c r="L114" s="15" t="str">
        <f aca="false">IF(AND(D114="N",F114="不採用"),1,IF(D114="","",0))</f>
        <v/>
      </c>
      <c r="M114" s="15" t="str">
        <f aca="false">IF(AND(D114="Y",F114="採用"),1,IF(D114="","",0))</f>
        <v/>
      </c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5" t="str">
        <f aca="false">IF(AND(D115="Y",F115="不採用"),1,IF(D115="","",0))</f>
        <v/>
      </c>
      <c r="L115" s="15" t="str">
        <f aca="false">IF(AND(D115="N",F115="不採用"),1,IF(D115="","",0))</f>
        <v/>
      </c>
      <c r="M115" s="15" t="str">
        <f aca="false">IF(AND(D115="Y",F115="採用"),1,IF(D115="","",0))</f>
        <v/>
      </c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5" t="str">
        <f aca="false">IF(AND(D116="Y",F116="不採用"),1,IF(D116="","",0))</f>
        <v/>
      </c>
      <c r="L116" s="15" t="str">
        <f aca="false">IF(AND(D116="N",F116="不採用"),1,IF(D116="","",0))</f>
        <v/>
      </c>
      <c r="M116" s="15" t="str">
        <f aca="false">IF(AND(D116="Y",F116="採用"),1,IF(D116="","",0))</f>
        <v/>
      </c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5" t="str">
        <f aca="false">IF(AND(D117="Y",F117="不採用"),1,IF(D117="","",0))</f>
        <v/>
      </c>
      <c r="L117" s="15" t="str">
        <f aca="false">IF(AND(D117="N",F117="不採用"),1,IF(D117="","",0))</f>
        <v/>
      </c>
      <c r="M117" s="15" t="str">
        <f aca="false">IF(AND(D117="Y",F117="採用"),1,IF(D117="","",0))</f>
        <v/>
      </c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5" t="str">
        <f aca="false">IF(AND(D118="Y",F118="不採用"),1,IF(D118="","",0))</f>
        <v/>
      </c>
      <c r="L118" s="15" t="str">
        <f aca="false">IF(AND(D118="N",F118="不採用"),1,IF(D118="","",0))</f>
        <v/>
      </c>
      <c r="M118" s="15" t="str">
        <f aca="false">IF(AND(D118="Y",F118="採用"),1,IF(D118="","",0))</f>
        <v/>
      </c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5" t="str">
        <f aca="false">IF(AND(D119="Y",F119="不採用"),1,IF(D119="","",0))</f>
        <v/>
      </c>
      <c r="L119" s="15" t="str">
        <f aca="false">IF(AND(D119="N",F119="不採用"),1,IF(D119="","",0))</f>
        <v/>
      </c>
      <c r="M119" s="15" t="str">
        <f aca="false">IF(AND(D119="Y",F119="採用"),1,IF(D119="","",0))</f>
        <v/>
      </c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5" t="str">
        <f aca="false">IF(AND(D120="Y",F120="不採用"),1,IF(D120="","",0))</f>
        <v/>
      </c>
      <c r="L120" s="15" t="str">
        <f aca="false">IF(AND(D120="N",F120="不採用"),1,IF(D120="","",0))</f>
        <v/>
      </c>
      <c r="M120" s="15" t="str">
        <f aca="false">IF(AND(D120="Y",F120="採用"),1,IF(D120="","",0))</f>
        <v/>
      </c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5" t="str">
        <f aca="false">IF(AND(D121="Y",F121="不採用"),1,IF(D121="","",0))</f>
        <v/>
      </c>
      <c r="L121" s="15" t="str">
        <f aca="false">IF(AND(D121="N",F121="不採用"),1,IF(D121="","",0))</f>
        <v/>
      </c>
      <c r="M121" s="15" t="str">
        <f aca="false">IF(AND(D121="Y",F121="採用"),1,IF(D121="","",0))</f>
        <v/>
      </c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5" t="str">
        <f aca="false">IF(AND(D122="Y",F122="不採用"),1,IF(D122="","",0))</f>
        <v/>
      </c>
      <c r="L122" s="15" t="str">
        <f aca="false">IF(AND(D122="N",F122="不採用"),1,IF(D122="","",0))</f>
        <v/>
      </c>
      <c r="M122" s="15" t="str">
        <f aca="false">IF(AND(D122="Y",F122="採用"),1,IF(D122="","",0))</f>
        <v/>
      </c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5" t="str">
        <f aca="false">IF(AND(D123="Y",F123="不採用"),1,IF(D123="","",0))</f>
        <v/>
      </c>
      <c r="L123" s="15" t="str">
        <f aca="false">IF(AND(D123="N",F123="不採用"),1,IF(D123="","",0))</f>
        <v/>
      </c>
      <c r="M123" s="15" t="str">
        <f aca="false">IF(AND(D123="Y",F123="採用"),1,IF(D123="","",0))</f>
        <v/>
      </c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5" t="str">
        <f aca="false">IF(AND(D124="Y",F124="不採用"),1,IF(D124="","",0))</f>
        <v/>
      </c>
      <c r="L124" s="15" t="str">
        <f aca="false">IF(AND(D124="N",F124="不採用"),1,IF(D124="","",0))</f>
        <v/>
      </c>
      <c r="M124" s="15" t="str">
        <f aca="false">IF(AND(D124="Y",F124="採用"),1,IF(D124="","",0))</f>
        <v/>
      </c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5" t="str">
        <f aca="false">IF(AND(D125="Y",F125="不採用"),1,IF(D125="","",0))</f>
        <v/>
      </c>
      <c r="L125" s="15" t="str">
        <f aca="false">IF(AND(D125="N",F125="不採用"),1,IF(D125="","",0))</f>
        <v/>
      </c>
      <c r="M125" s="15" t="str">
        <f aca="false">IF(AND(D125="Y",F125="採用"),1,IF(D125="","",0))</f>
        <v/>
      </c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5" t="str">
        <f aca="false">IF(AND(D126="Y",F126="不採用"),1,IF(D126="","",0))</f>
        <v/>
      </c>
      <c r="L126" s="15" t="str">
        <f aca="false">IF(AND(D126="N",F126="不採用"),1,IF(D126="","",0))</f>
        <v/>
      </c>
      <c r="M126" s="15" t="str">
        <f aca="false">IF(AND(D126="Y",F126="採用"),1,IF(D126="","",0))</f>
        <v/>
      </c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5" t="str">
        <f aca="false">IF(AND(D127="Y",F127="不採用"),1,IF(D127="","",0))</f>
        <v/>
      </c>
      <c r="L127" s="15" t="str">
        <f aca="false">IF(AND(D127="N",F127="不採用"),1,IF(D127="","",0))</f>
        <v/>
      </c>
      <c r="M127" s="15" t="str">
        <f aca="false">IF(AND(D127="Y",F127="採用"),1,IF(D127="","",0))</f>
        <v/>
      </c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5" t="str">
        <f aca="false">IF(AND(D128="Y",F128="不採用"),1,IF(D128="","",0))</f>
        <v/>
      </c>
      <c r="L128" s="15" t="str">
        <f aca="false">IF(AND(D128="N",F128="不採用"),1,IF(D128="","",0))</f>
        <v/>
      </c>
      <c r="M128" s="15" t="str">
        <f aca="false">IF(AND(D128="Y",F128="採用"),1,IF(D128="","",0))</f>
        <v/>
      </c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5" t="str">
        <f aca="false">IF(AND(D129="Y",F129="不採用"),1,IF(D129="","",0))</f>
        <v/>
      </c>
      <c r="L129" s="15" t="str">
        <f aca="false">IF(AND(D129="N",F129="不採用"),1,IF(D129="","",0))</f>
        <v/>
      </c>
      <c r="M129" s="15" t="str">
        <f aca="false">IF(AND(D129="Y",F129="採用"),1,IF(D129="","",0))</f>
        <v/>
      </c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5" t="str">
        <f aca="false">IF(AND(D130="Y",F130="不採用"),1,IF(D130="","",0))</f>
        <v/>
      </c>
      <c r="L130" s="15" t="str">
        <f aca="false">IF(AND(D130="N",F130="不採用"),1,IF(D130="","",0))</f>
        <v/>
      </c>
      <c r="M130" s="15" t="str">
        <f aca="false">IF(AND(D130="Y",F130="採用"),1,IF(D130="","",0))</f>
        <v/>
      </c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5" t="str">
        <f aca="false">IF(AND(D131="Y",F131="不採用"),1,IF(D131="","",0))</f>
        <v/>
      </c>
      <c r="L131" s="15" t="str">
        <f aca="false">IF(AND(D131="N",F131="不採用"),1,IF(D131="","",0))</f>
        <v/>
      </c>
      <c r="M131" s="15" t="str">
        <f aca="false">IF(AND(D131="Y",F131="採用"),1,IF(D131="","",0))</f>
        <v/>
      </c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5" t="str">
        <f aca="false">IF(AND(D132="Y",F132="不採用"),1,IF(D132="","",0))</f>
        <v/>
      </c>
      <c r="L132" s="15" t="str">
        <f aca="false">IF(AND(D132="N",F132="不採用"),1,IF(D132="","",0))</f>
        <v/>
      </c>
      <c r="M132" s="15" t="str">
        <f aca="false">IF(AND(D132="Y",F132="採用"),1,IF(D132="","",0))</f>
        <v/>
      </c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5" t="str">
        <f aca="false">IF(AND(D133="Y",F133="不採用"),1,IF(D133="","",0))</f>
        <v/>
      </c>
      <c r="L133" s="15" t="str">
        <f aca="false">IF(AND(D133="N",F133="不採用"),1,IF(D133="","",0))</f>
        <v/>
      </c>
      <c r="M133" s="15" t="str">
        <f aca="false">IF(AND(D133="Y",F133="採用"),1,IF(D133="","",0))</f>
        <v/>
      </c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5" t="str">
        <f aca="false">IF(AND(D134="Y",F134="不採用"),1,IF(D134="","",0))</f>
        <v/>
      </c>
      <c r="L134" s="15" t="str">
        <f aca="false">IF(AND(D134="N",F134="不採用"),1,IF(D134="","",0))</f>
        <v/>
      </c>
      <c r="M134" s="15" t="str">
        <f aca="false">IF(AND(D134="Y",F134="採用"),1,IF(D134="","",0))</f>
        <v/>
      </c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5" t="str">
        <f aca="false">IF(AND(D135="Y",F135="不採用"),1,IF(D135="","",0))</f>
        <v/>
      </c>
      <c r="L135" s="15" t="str">
        <f aca="false">IF(AND(D135="N",F135="不採用"),1,IF(D135="","",0))</f>
        <v/>
      </c>
      <c r="M135" s="15" t="str">
        <f aca="false">IF(AND(D135="Y",F135="採用"),1,IF(D135="","",0))</f>
        <v/>
      </c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5" t="str">
        <f aca="false">IF(AND(D136="Y",F136="不採用"),1,IF(D136="","",0))</f>
        <v/>
      </c>
      <c r="L136" s="15" t="str">
        <f aca="false">IF(AND(D136="N",F136="不採用"),1,IF(D136="","",0))</f>
        <v/>
      </c>
      <c r="M136" s="15" t="str">
        <f aca="false">IF(AND(D136="Y",F136="採用"),1,IF(D136="","",0))</f>
        <v/>
      </c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5" t="str">
        <f aca="false">IF(AND(D137="Y",F137="不採用"),1,IF(D137="","",0))</f>
        <v/>
      </c>
      <c r="L137" s="15" t="str">
        <f aca="false">IF(AND(D137="N",F137="不採用"),1,IF(D137="","",0))</f>
        <v/>
      </c>
      <c r="M137" s="15" t="str">
        <f aca="false">IF(AND(D137="Y",F137="採用"),1,IF(D137="","",0))</f>
        <v/>
      </c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5" t="str">
        <f aca="false">IF(AND(D138="Y",F138="不採用"),1,IF(D138="","",0))</f>
        <v/>
      </c>
      <c r="L138" s="15" t="str">
        <f aca="false">IF(AND(D138="N",F138="不採用"),1,IF(D138="","",0))</f>
        <v/>
      </c>
      <c r="M138" s="15" t="str">
        <f aca="false">IF(AND(D138="Y",F138="採用"),1,IF(D138="","",0))</f>
        <v/>
      </c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5" t="str">
        <f aca="false">IF(AND(D139="Y",F139="不採用"),1,IF(D139="","",0))</f>
        <v/>
      </c>
      <c r="L139" s="15" t="str">
        <f aca="false">IF(AND(D139="N",F139="不採用"),1,IF(D139="","",0))</f>
        <v/>
      </c>
      <c r="M139" s="15" t="str">
        <f aca="false">IF(AND(D139="Y",F139="採用"),1,IF(D139="","",0))</f>
        <v/>
      </c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5" t="str">
        <f aca="false">IF(AND(D140="Y",F140="不採用"),1,IF(D140="","",0))</f>
        <v/>
      </c>
      <c r="L140" s="15" t="str">
        <f aca="false">IF(AND(D140="N",F140="不採用"),1,IF(D140="","",0))</f>
        <v/>
      </c>
      <c r="M140" s="15" t="str">
        <f aca="false">IF(AND(D140="Y",F140="採用"),1,IF(D140="","",0))</f>
        <v/>
      </c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5" t="str">
        <f aca="false">IF(AND(D141="Y",F141="不採用"),1,IF(D141="","",0))</f>
        <v/>
      </c>
      <c r="L141" s="15" t="str">
        <f aca="false">IF(AND(D141="N",F141="不採用"),1,IF(D141="","",0))</f>
        <v/>
      </c>
      <c r="M141" s="15" t="str">
        <f aca="false">IF(AND(D141="Y",F141="採用"),1,IF(D141="","",0))</f>
        <v/>
      </c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5" t="str">
        <f aca="false">IF(AND(D142="Y",F142="不採用"),1,IF(D142="","",0))</f>
        <v/>
      </c>
      <c r="L142" s="15" t="str">
        <f aca="false">IF(AND(D142="N",F142="不採用"),1,IF(D142="","",0))</f>
        <v/>
      </c>
      <c r="M142" s="15" t="str">
        <f aca="false">IF(AND(D142="Y",F142="採用"),1,IF(D142="","",0))</f>
        <v/>
      </c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5" t="str">
        <f aca="false">IF(AND(D143="Y",F143="不採用"),1,IF(D143="","",0))</f>
        <v/>
      </c>
      <c r="L143" s="15" t="str">
        <f aca="false">IF(AND(D143="N",F143="不採用"),1,IF(D143="","",0))</f>
        <v/>
      </c>
      <c r="M143" s="15" t="str">
        <f aca="false">IF(AND(D143="Y",F143="採用"),1,IF(D143="","",0))</f>
        <v/>
      </c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5" t="str">
        <f aca="false">IF(AND(D144="Y",F144="不採用"),1,IF(D144="","",0))</f>
        <v/>
      </c>
      <c r="L144" s="15" t="str">
        <f aca="false">IF(AND(D144="N",F144="不採用"),1,IF(D144="","",0))</f>
        <v/>
      </c>
      <c r="M144" s="15" t="str">
        <f aca="false">IF(AND(D144="Y",F144="採用"),1,IF(D144="","",0))</f>
        <v/>
      </c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5" t="str">
        <f aca="false">IF(AND(D145="Y",F145="不採用"),1,IF(D145="","",0))</f>
        <v/>
      </c>
      <c r="L145" s="15" t="str">
        <f aca="false">IF(AND(D145="N",F145="不採用"),1,IF(D145="","",0))</f>
        <v/>
      </c>
      <c r="M145" s="15" t="str">
        <f aca="false">IF(AND(D145="Y",F145="採用"),1,IF(D145="","",0))</f>
        <v/>
      </c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5" t="str">
        <f aca="false">IF(AND(D146="Y",F146="不採用"),1,IF(D146="","",0))</f>
        <v/>
      </c>
      <c r="L146" s="15" t="str">
        <f aca="false">IF(AND(D146="N",F146="不採用"),1,IF(D146="","",0))</f>
        <v/>
      </c>
      <c r="M146" s="15" t="str">
        <f aca="false">IF(AND(D146="Y",F146="採用"),1,IF(D146="","",0))</f>
        <v/>
      </c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5" t="str">
        <f aca="false">IF(AND(D147="Y",F147="不採用"),1,IF(D147="","",0))</f>
        <v/>
      </c>
      <c r="L147" s="15" t="str">
        <f aca="false">IF(AND(D147="N",F147="不採用"),1,IF(D147="","",0))</f>
        <v/>
      </c>
      <c r="M147" s="15" t="str">
        <f aca="false">IF(AND(D147="Y",F147="採用"),1,IF(D147="","",0))</f>
        <v/>
      </c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5" t="str">
        <f aca="false">IF(AND(D148="Y",F148="不採用"),1,IF(D148="","",0))</f>
        <v/>
      </c>
      <c r="L148" s="15" t="str">
        <f aca="false">IF(AND(D148="N",F148="不採用"),1,IF(D148="","",0))</f>
        <v/>
      </c>
      <c r="M148" s="15" t="str">
        <f aca="false">IF(AND(D148="Y",F148="採用"),1,IF(D148="","",0))</f>
        <v/>
      </c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5" t="str">
        <f aca="false">IF(AND(D149="Y",F149="不採用"),1,IF(D149="","",0))</f>
        <v/>
      </c>
      <c r="L149" s="15" t="str">
        <f aca="false">IF(AND(D149="N",F149="不採用"),1,IF(D149="","",0))</f>
        <v/>
      </c>
      <c r="M149" s="15" t="str">
        <f aca="false">IF(AND(D149="Y",F149="採用"),1,IF(D149="","",0))</f>
        <v/>
      </c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5" t="str">
        <f aca="false">IF(AND(D150="Y",F150="不採用"),1,IF(D150="","",0))</f>
        <v/>
      </c>
      <c r="L150" s="15" t="str">
        <f aca="false">IF(AND(D150="N",F150="不採用"),1,IF(D150="","",0))</f>
        <v/>
      </c>
      <c r="M150" s="15" t="str">
        <f aca="false">IF(AND(D150="Y",F150="採用"),1,IF(D150="","",0))</f>
        <v/>
      </c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5" t="str">
        <f aca="false">IF(AND(D151="Y",F151="不採用"),1,IF(D151="","",0))</f>
        <v/>
      </c>
      <c r="L151" s="15" t="str">
        <f aca="false">IF(AND(D151="N",F151="不採用"),1,IF(D151="","",0))</f>
        <v/>
      </c>
      <c r="M151" s="15" t="str">
        <f aca="false">IF(AND(D151="Y",F151="採用"),1,IF(D151="","",0))</f>
        <v/>
      </c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5" t="str">
        <f aca="false">IF(AND(D152="Y",F152="不採用"),1,IF(D152="","",0))</f>
        <v/>
      </c>
      <c r="L152" s="15" t="str">
        <f aca="false">IF(AND(D152="N",F152="不採用"),1,IF(D152="","",0))</f>
        <v/>
      </c>
      <c r="M152" s="15" t="str">
        <f aca="false">IF(AND(D152="Y",F152="採用"),1,IF(D152="","",0))</f>
        <v/>
      </c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5" t="str">
        <f aca="false">IF(AND(D153="Y",F153="不採用"),1,IF(D153="","",0))</f>
        <v/>
      </c>
      <c r="L153" s="15" t="str">
        <f aca="false">IF(AND(D153="N",F153="不採用"),1,IF(D153="","",0))</f>
        <v/>
      </c>
      <c r="M153" s="15" t="str">
        <f aca="false">IF(AND(D153="Y",F153="採用"),1,IF(D153="","",0))</f>
        <v/>
      </c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5" t="str">
        <f aca="false">IF(AND(D154="Y",F154="不採用"),1,IF(D154="","",0))</f>
        <v/>
      </c>
      <c r="L154" s="15" t="str">
        <f aca="false">IF(AND(D154="N",F154="不採用"),1,IF(D154="","",0))</f>
        <v/>
      </c>
      <c r="M154" s="15" t="str">
        <f aca="false">IF(AND(D154="Y",F154="採用"),1,IF(D154="","",0))</f>
        <v/>
      </c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5" t="str">
        <f aca="false">IF(AND(D155="Y",F155="不採用"),1,IF(D155="","",0))</f>
        <v/>
      </c>
      <c r="L155" s="15" t="str">
        <f aca="false">IF(AND(D155="N",F155="不採用"),1,IF(D155="","",0))</f>
        <v/>
      </c>
      <c r="M155" s="15" t="str">
        <f aca="false">IF(AND(D155="Y",F155="採用"),1,IF(D155="","",0))</f>
        <v/>
      </c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5" t="str">
        <f aca="false">IF(AND(D156="Y",F156="不採用"),1,IF(D156="","",0))</f>
        <v/>
      </c>
      <c r="L156" s="15" t="str">
        <f aca="false">IF(AND(D156="N",F156="不採用"),1,IF(D156="","",0))</f>
        <v/>
      </c>
      <c r="M156" s="15" t="str">
        <f aca="false">IF(AND(D156="Y",F156="採用"),1,IF(D156="","",0))</f>
        <v/>
      </c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5" t="str">
        <f aca="false">IF(AND(D157="Y",F157="不採用"),1,IF(D157="","",0))</f>
        <v/>
      </c>
      <c r="L157" s="15" t="str">
        <f aca="false">IF(AND(D157="N",F157="不採用"),1,IF(D157="","",0))</f>
        <v/>
      </c>
      <c r="M157" s="15" t="str">
        <f aca="false">IF(AND(D157="Y",F157="採用"),1,IF(D157="","",0))</f>
        <v/>
      </c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5" t="str">
        <f aca="false">IF(AND(D158="Y",F158="不採用"),1,IF(D158="","",0))</f>
        <v/>
      </c>
      <c r="L158" s="15" t="str">
        <f aca="false">IF(AND(D158="N",F158="不採用"),1,IF(D158="","",0))</f>
        <v/>
      </c>
      <c r="M158" s="15" t="str">
        <f aca="false">IF(AND(D158="Y",F158="採用"),1,IF(D158="","",0))</f>
        <v/>
      </c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5" t="str">
        <f aca="false">IF(AND(D159="Y",F159="不採用"),1,IF(D159="","",0))</f>
        <v/>
      </c>
      <c r="L159" s="15" t="str">
        <f aca="false">IF(AND(D159="N",F159="不採用"),1,IF(D159="","",0))</f>
        <v/>
      </c>
      <c r="M159" s="15" t="str">
        <f aca="false">IF(AND(D159="Y",F159="採用"),1,IF(D159="","",0))</f>
        <v/>
      </c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5" t="str">
        <f aca="false">IF(AND(D160="Y",F160="不採用"),1,IF(D160="","",0))</f>
        <v/>
      </c>
      <c r="L160" s="15" t="str">
        <f aca="false">IF(AND(D160="N",F160="不採用"),1,IF(D160="","",0))</f>
        <v/>
      </c>
      <c r="M160" s="15" t="str">
        <f aca="false">IF(AND(D160="Y",F160="採用"),1,IF(D160="","",0))</f>
        <v/>
      </c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5" t="str">
        <f aca="false">IF(AND(D161="Y",F161="不採用"),1,IF(D161="","",0))</f>
        <v/>
      </c>
      <c r="L161" s="15" t="str">
        <f aca="false">IF(AND(D161="N",F161="不採用"),1,IF(D161="","",0))</f>
        <v/>
      </c>
      <c r="M161" s="15" t="str">
        <f aca="false">IF(AND(D161="Y",F161="採用"),1,IF(D161="","",0))</f>
        <v/>
      </c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5" t="str">
        <f aca="false">IF(AND(D162="Y",F162="不採用"),1,IF(D162="","",0))</f>
        <v/>
      </c>
      <c r="L162" s="15" t="str">
        <f aca="false">IF(AND(D162="N",F162="不採用"),1,IF(D162="","",0))</f>
        <v/>
      </c>
      <c r="M162" s="15" t="str">
        <f aca="false">IF(AND(D162="Y",F162="採用"),1,IF(D162="","",0))</f>
        <v/>
      </c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5" t="str">
        <f aca="false">IF(AND(D163="Y",F163="不採用"),1,IF(D163="","",0))</f>
        <v/>
      </c>
      <c r="L163" s="15" t="str">
        <f aca="false">IF(AND(D163="N",F163="不採用"),1,IF(D163="","",0))</f>
        <v/>
      </c>
      <c r="M163" s="15" t="str">
        <f aca="false">IF(AND(D163="Y",F163="採用"),1,IF(D163="","",0))</f>
        <v/>
      </c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5" t="str">
        <f aca="false">IF(AND(D164="Y",F164="不採用"),1,IF(D164="","",0))</f>
        <v/>
      </c>
      <c r="L164" s="15" t="str">
        <f aca="false">IF(AND(D164="N",F164="不採用"),1,IF(D164="","",0))</f>
        <v/>
      </c>
      <c r="M164" s="15" t="str">
        <f aca="false">IF(AND(D164="Y",F164="採用"),1,IF(D164="","",0))</f>
        <v/>
      </c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5" t="str">
        <f aca="false">IF(AND(D165="Y",F165="不採用"),1,IF(D165="","",0))</f>
        <v/>
      </c>
      <c r="L165" s="15" t="str">
        <f aca="false">IF(AND(D165="N",F165="不採用"),1,IF(D165="","",0))</f>
        <v/>
      </c>
      <c r="M165" s="15" t="str">
        <f aca="false">IF(AND(D165="Y",F165="採用"),1,IF(D165="","",0))</f>
        <v/>
      </c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5" t="str">
        <f aca="false">IF(AND(D166="Y",F166="不採用"),1,IF(D166="","",0))</f>
        <v/>
      </c>
      <c r="L166" s="15" t="str">
        <f aca="false">IF(AND(D166="N",F166="不採用"),1,IF(D166="","",0))</f>
        <v/>
      </c>
      <c r="M166" s="15" t="str">
        <f aca="false">IF(AND(D166="Y",F166="採用"),1,IF(D166="","",0))</f>
        <v/>
      </c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5" t="str">
        <f aca="false">IF(AND(D167="Y",F167="不採用"),1,IF(D167="","",0))</f>
        <v/>
      </c>
      <c r="L167" s="15" t="str">
        <f aca="false">IF(AND(D167="N",F167="不採用"),1,IF(D167="","",0))</f>
        <v/>
      </c>
      <c r="M167" s="15" t="str">
        <f aca="false">IF(AND(D167="Y",F167="採用"),1,IF(D167="","",0))</f>
        <v/>
      </c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5" t="str">
        <f aca="false">IF(AND(D168="Y",F168="不採用"),1,IF(D168="","",0))</f>
        <v/>
      </c>
      <c r="L168" s="15" t="str">
        <f aca="false">IF(AND(D168="N",F168="不採用"),1,IF(D168="","",0))</f>
        <v/>
      </c>
      <c r="M168" s="15" t="str">
        <f aca="false">IF(AND(D168="Y",F168="採用"),1,IF(D168="","",0))</f>
        <v/>
      </c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5" t="str">
        <f aca="false">IF(AND(D169="Y",F169="不採用"),1,IF(D169="","",0))</f>
        <v/>
      </c>
      <c r="L169" s="15" t="str">
        <f aca="false">IF(AND(D169="N",F169="不採用"),1,IF(D169="","",0))</f>
        <v/>
      </c>
      <c r="M169" s="15" t="str">
        <f aca="false">IF(AND(D169="Y",F169="採用"),1,IF(D169="","",0))</f>
        <v/>
      </c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5" t="str">
        <f aca="false">IF(AND(D170="Y",F170="不採用"),1,IF(D170="","",0))</f>
        <v/>
      </c>
      <c r="L170" s="15" t="str">
        <f aca="false">IF(AND(D170="N",F170="不採用"),1,IF(D170="","",0))</f>
        <v/>
      </c>
      <c r="M170" s="15" t="str">
        <f aca="false">IF(AND(D170="Y",F170="採用"),1,IF(D170="","",0))</f>
        <v/>
      </c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5" t="str">
        <f aca="false">IF(AND(D171="Y",F171="不採用"),1,IF(D171="","",0))</f>
        <v/>
      </c>
      <c r="L171" s="15" t="str">
        <f aca="false">IF(AND(D171="N",F171="不採用"),1,IF(D171="","",0))</f>
        <v/>
      </c>
      <c r="M171" s="15" t="str">
        <f aca="false">IF(AND(D171="Y",F171="採用"),1,IF(D171="","",0))</f>
        <v/>
      </c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5" t="str">
        <f aca="false">IF(AND(D172="Y",F172="不採用"),1,IF(D172="","",0))</f>
        <v/>
      </c>
      <c r="L172" s="15" t="str">
        <f aca="false">IF(AND(D172="N",F172="不採用"),1,IF(D172="","",0))</f>
        <v/>
      </c>
      <c r="M172" s="15" t="str">
        <f aca="false">IF(AND(D172="Y",F172="採用"),1,IF(D172="","",0))</f>
        <v/>
      </c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5" t="str">
        <f aca="false">IF(AND(D173="Y",F173="不採用"),1,IF(D173="","",0))</f>
        <v/>
      </c>
      <c r="L173" s="15" t="str">
        <f aca="false">IF(AND(D173="N",F173="不採用"),1,IF(D173="","",0))</f>
        <v/>
      </c>
      <c r="M173" s="15" t="str">
        <f aca="false">IF(AND(D173="Y",F173="採用"),1,IF(D173="","",0))</f>
        <v/>
      </c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5" t="str">
        <f aca="false">IF(AND(D174="Y",F174="不採用"),1,IF(D174="","",0))</f>
        <v/>
      </c>
      <c r="L174" s="15" t="str">
        <f aca="false">IF(AND(D174="N",F174="不採用"),1,IF(D174="","",0))</f>
        <v/>
      </c>
      <c r="M174" s="15" t="str">
        <f aca="false">IF(AND(D174="Y",F174="採用"),1,IF(D174="","",0))</f>
        <v/>
      </c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5" t="str">
        <f aca="false">IF(AND(D175="Y",F175="不採用"),1,IF(D175="","",0))</f>
        <v/>
      </c>
      <c r="L175" s="15" t="str">
        <f aca="false">IF(AND(D175="N",F175="不採用"),1,IF(D175="","",0))</f>
        <v/>
      </c>
      <c r="M175" s="15" t="str">
        <f aca="false">IF(AND(D175="Y",F175="採用"),1,IF(D175="","",0))</f>
        <v/>
      </c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5" t="str">
        <f aca="false">IF(AND(D176="Y",F176="不採用"),1,IF(D176="","",0))</f>
        <v/>
      </c>
      <c r="L176" s="15" t="str">
        <f aca="false">IF(AND(D176="N",F176="不採用"),1,IF(D176="","",0))</f>
        <v/>
      </c>
      <c r="M176" s="15" t="str">
        <f aca="false">IF(AND(D176="Y",F176="採用"),1,IF(D176="","",0))</f>
        <v/>
      </c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5" t="str">
        <f aca="false">IF(AND(D177="Y",F177="不採用"),1,IF(D177="","",0))</f>
        <v/>
      </c>
      <c r="L177" s="15" t="str">
        <f aca="false">IF(AND(D177="N",F177="不採用"),1,IF(D177="","",0))</f>
        <v/>
      </c>
      <c r="M177" s="15" t="str">
        <f aca="false">IF(AND(D177="Y",F177="採用"),1,IF(D177="","",0))</f>
        <v/>
      </c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5" t="str">
        <f aca="false">IF(AND(D178="Y",F178="不採用"),1,IF(D178="","",0))</f>
        <v/>
      </c>
      <c r="L178" s="15" t="str">
        <f aca="false">IF(AND(D178="N",F178="不採用"),1,IF(D178="","",0))</f>
        <v/>
      </c>
      <c r="M178" s="15" t="str">
        <f aca="false">IF(AND(D178="Y",F178="採用"),1,IF(D178="","",0))</f>
        <v/>
      </c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5" t="str">
        <f aca="false">IF(AND(D179="Y",F179="不採用"),1,IF(D179="","",0))</f>
        <v/>
      </c>
      <c r="L179" s="15" t="str">
        <f aca="false">IF(AND(D179="N",F179="不採用"),1,IF(D179="","",0))</f>
        <v/>
      </c>
      <c r="M179" s="15" t="str">
        <f aca="false">IF(AND(D179="Y",F179="採用"),1,IF(D179="","",0))</f>
        <v/>
      </c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5" t="str">
        <f aca="false">IF(AND(D180="Y",F180="不採用"),1,IF(D180="","",0))</f>
        <v/>
      </c>
      <c r="L180" s="15" t="str">
        <f aca="false">IF(AND(D180="N",F180="不採用"),1,IF(D180="","",0))</f>
        <v/>
      </c>
      <c r="M180" s="15" t="str">
        <f aca="false">IF(AND(D180="Y",F180="採用"),1,IF(D180="","",0))</f>
        <v/>
      </c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5" t="str">
        <f aca="false">IF(AND(D181="Y",F181="不採用"),1,IF(D181="","",0))</f>
        <v/>
      </c>
      <c r="L181" s="15" t="str">
        <f aca="false">IF(AND(D181="N",F181="不採用"),1,IF(D181="","",0))</f>
        <v/>
      </c>
      <c r="M181" s="15" t="str">
        <f aca="false">IF(AND(D181="Y",F181="採用"),1,IF(D181="","",0))</f>
        <v/>
      </c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5" t="str">
        <f aca="false">IF(AND(D182="Y",F182="不採用"),1,IF(D182="","",0))</f>
        <v/>
      </c>
      <c r="L182" s="15" t="str">
        <f aca="false">IF(AND(D182="N",F182="不採用"),1,IF(D182="","",0))</f>
        <v/>
      </c>
      <c r="M182" s="15" t="str">
        <f aca="false">IF(AND(D182="Y",F182="採用"),1,IF(D182="","",0))</f>
        <v/>
      </c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5" t="str">
        <f aca="false">IF(AND(D183="Y",F183="不採用"),1,IF(D183="","",0))</f>
        <v/>
      </c>
      <c r="L183" s="15" t="str">
        <f aca="false">IF(AND(D183="N",F183="不採用"),1,IF(D183="","",0))</f>
        <v/>
      </c>
      <c r="M183" s="15" t="str">
        <f aca="false">IF(AND(D183="Y",F183="採用"),1,IF(D183="","",0))</f>
        <v/>
      </c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5" t="str">
        <f aca="false">IF(AND(D184="Y",F184="不採用"),1,IF(D184="","",0))</f>
        <v/>
      </c>
      <c r="L184" s="15" t="str">
        <f aca="false">IF(AND(D184="N",F184="不採用"),1,IF(D184="","",0))</f>
        <v/>
      </c>
      <c r="M184" s="15" t="str">
        <f aca="false">IF(AND(D184="Y",F184="採用"),1,IF(D184="","",0))</f>
        <v/>
      </c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5" t="str">
        <f aca="false">IF(AND(D185="Y",F185="不採用"),1,IF(D185="","",0))</f>
        <v/>
      </c>
      <c r="L185" s="15" t="str">
        <f aca="false">IF(AND(D185="N",F185="不採用"),1,IF(D185="","",0))</f>
        <v/>
      </c>
      <c r="M185" s="15" t="str">
        <f aca="false">IF(AND(D185="Y",F185="採用"),1,IF(D185="","",0))</f>
        <v/>
      </c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5" t="str">
        <f aca="false">IF(AND(D186="Y",F186="不採用"),1,IF(D186="","",0))</f>
        <v/>
      </c>
      <c r="L186" s="15" t="str">
        <f aca="false">IF(AND(D186="N",F186="不採用"),1,IF(D186="","",0))</f>
        <v/>
      </c>
      <c r="M186" s="15" t="str">
        <f aca="false">IF(AND(D186="Y",F186="採用"),1,IF(D186="","",0))</f>
        <v/>
      </c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5" t="str">
        <f aca="false">IF(AND(D187="Y",F187="不採用"),1,IF(D187="","",0))</f>
        <v/>
      </c>
      <c r="L187" s="15" t="str">
        <f aca="false">IF(AND(D187="N",F187="不採用"),1,IF(D187="","",0))</f>
        <v/>
      </c>
      <c r="M187" s="15" t="str">
        <f aca="false">IF(AND(D187="Y",F187="採用"),1,IF(D187="","",0))</f>
        <v/>
      </c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5" t="str">
        <f aca="false">IF(AND(D188="Y",F188="不採用"),1,IF(D188="","",0))</f>
        <v/>
      </c>
      <c r="L188" s="15" t="str">
        <f aca="false">IF(AND(D188="N",F188="不採用"),1,IF(D188="","",0))</f>
        <v/>
      </c>
      <c r="M188" s="15" t="str">
        <f aca="false">IF(AND(D188="Y",F188="採用"),1,IF(D188="","",0))</f>
        <v/>
      </c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5" t="str">
        <f aca="false">IF(AND(D189="Y",F189="不採用"),1,IF(D189="","",0))</f>
        <v/>
      </c>
      <c r="L189" s="15" t="str">
        <f aca="false">IF(AND(D189="N",F189="不採用"),1,IF(D189="","",0))</f>
        <v/>
      </c>
      <c r="M189" s="15" t="str">
        <f aca="false">IF(AND(D189="Y",F189="採用"),1,IF(D189="","",0))</f>
        <v/>
      </c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5" t="str">
        <f aca="false">IF(AND(D190="Y",F190="不採用"),1,IF(D190="","",0))</f>
        <v/>
      </c>
      <c r="L190" s="15" t="str">
        <f aca="false">IF(AND(D190="N",F190="不採用"),1,IF(D190="","",0))</f>
        <v/>
      </c>
      <c r="M190" s="15" t="str">
        <f aca="false">IF(AND(D190="Y",F190="採用"),1,IF(D190="","",0))</f>
        <v/>
      </c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5" t="str">
        <f aca="false">IF(AND(D191="Y",F191="不採用"),1,IF(D191="","",0))</f>
        <v/>
      </c>
      <c r="L191" s="15" t="str">
        <f aca="false">IF(AND(D191="N",F191="不採用"),1,IF(D191="","",0))</f>
        <v/>
      </c>
      <c r="M191" s="15" t="str">
        <f aca="false">IF(AND(D191="Y",F191="採用"),1,IF(D191="","",0))</f>
        <v/>
      </c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5" t="str">
        <f aca="false">IF(AND(D192="Y",F192="不採用"),1,IF(D192="","",0))</f>
        <v/>
      </c>
      <c r="L192" s="15" t="str">
        <f aca="false">IF(AND(D192="N",F192="不採用"),1,IF(D192="","",0))</f>
        <v/>
      </c>
      <c r="M192" s="15" t="str">
        <f aca="false">IF(AND(D192="Y",F192="採用"),1,IF(D192="","",0))</f>
        <v/>
      </c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5" t="str">
        <f aca="false">IF(AND(D193="Y",F193="不採用"),1,IF(D193="","",0))</f>
        <v/>
      </c>
      <c r="L193" s="15" t="str">
        <f aca="false">IF(AND(D193="N",F193="不採用"),1,IF(D193="","",0))</f>
        <v/>
      </c>
      <c r="M193" s="15" t="str">
        <f aca="false">IF(AND(D193="Y",F193="採用"),1,IF(D193="","",0))</f>
        <v/>
      </c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5" t="str">
        <f aca="false">IF(AND(D194="Y",F194="不採用"),1,IF(D194="","",0))</f>
        <v/>
      </c>
      <c r="L194" s="15" t="str">
        <f aca="false">IF(AND(D194="N",F194="不採用"),1,IF(D194="","",0))</f>
        <v/>
      </c>
      <c r="M194" s="15" t="str">
        <f aca="false">IF(AND(D194="Y",F194="採用"),1,IF(D194="","",0))</f>
        <v/>
      </c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5" t="str">
        <f aca="false">IF(AND(D195="Y",F195="不採用"),1,IF(D195="","",0))</f>
        <v/>
      </c>
      <c r="L195" s="15" t="str">
        <f aca="false">IF(AND(D195="N",F195="不採用"),1,IF(D195="","",0))</f>
        <v/>
      </c>
      <c r="M195" s="15" t="str">
        <f aca="false">IF(AND(D195="Y",F195="採用"),1,IF(D195="","",0))</f>
        <v/>
      </c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5" t="str">
        <f aca="false">IF(AND(D196="Y",F196="不採用"),1,IF(D196="","",0))</f>
        <v/>
      </c>
      <c r="L196" s="15" t="str">
        <f aca="false">IF(AND(D196="N",F196="不採用"),1,IF(D196="","",0))</f>
        <v/>
      </c>
      <c r="M196" s="15" t="str">
        <f aca="false">IF(AND(D196="Y",F196="採用"),1,IF(D196="","",0))</f>
        <v/>
      </c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5" t="str">
        <f aca="false">IF(AND(D197="Y",F197="不採用"),1,IF(D197="","",0))</f>
        <v/>
      </c>
      <c r="L197" s="15" t="str">
        <f aca="false">IF(AND(D197="N",F197="不採用"),1,IF(D197="","",0))</f>
        <v/>
      </c>
      <c r="M197" s="15" t="str">
        <f aca="false">IF(AND(D197="Y",F197="採用"),1,IF(D197="","",0))</f>
        <v/>
      </c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5" t="str">
        <f aca="false">IF(AND(D198="Y",F198="不採用"),1,IF(D198="","",0))</f>
        <v/>
      </c>
      <c r="L198" s="15" t="str">
        <f aca="false">IF(AND(D198="N",F198="不採用"),1,IF(D198="","",0))</f>
        <v/>
      </c>
      <c r="M198" s="15" t="str">
        <f aca="false">IF(AND(D198="Y",F198="採用"),1,IF(D198="","",0))</f>
        <v/>
      </c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5" t="str">
        <f aca="false">IF(AND(D199="Y",F199="不採用"),1,IF(D199="","",0))</f>
        <v/>
      </c>
      <c r="L199" s="15" t="str">
        <f aca="false">IF(AND(D199="N",F199="不採用"),1,IF(D199="","",0))</f>
        <v/>
      </c>
      <c r="M199" s="15" t="str">
        <f aca="false">IF(AND(D199="Y",F199="採用"),1,IF(D199="","",0))</f>
        <v/>
      </c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5" t="str">
        <f aca="false">IF(AND(D200="Y",F200="不採用"),1,IF(D200="","",0))</f>
        <v/>
      </c>
      <c r="L200" s="15" t="str">
        <f aca="false">IF(AND(D200="N",F200="不採用"),1,IF(D200="","",0))</f>
        <v/>
      </c>
      <c r="M200" s="15" t="str">
        <f aca="false">IF(AND(D200="Y",F200="採用"),1,IF(D200="","",0))</f>
        <v/>
      </c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5" t="str">
        <f aca="false">IF(AND(D201="Y",F201="不採用"),1,IF(D201="","",0))</f>
        <v/>
      </c>
      <c r="L201" s="15" t="str">
        <f aca="false">IF(AND(D201="N",F201="不採用"),1,IF(D201="","",0))</f>
        <v/>
      </c>
      <c r="M201" s="15" t="str">
        <f aca="false">IF(AND(D201="Y",F201="採用"),1,IF(D201="","",0))</f>
        <v/>
      </c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5" t="str">
        <f aca="false">IF(AND(D202="Y",F202="不採用"),1,IF(D202="","",0))</f>
        <v/>
      </c>
      <c r="L202" s="15" t="str">
        <f aca="false">IF(AND(D202="N",F202="不採用"),1,IF(D202="","",0))</f>
        <v/>
      </c>
      <c r="M202" s="15" t="str">
        <f aca="false">IF(AND(D202="Y",F202="採用"),1,IF(D202="","",0))</f>
        <v/>
      </c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5" t="str">
        <f aca="false">IF(AND(D203="Y",F203="不採用"),1,IF(D203="","",0))</f>
        <v/>
      </c>
      <c r="L203" s="15" t="str">
        <f aca="false">IF(AND(D203="N",F203="不採用"),1,IF(D203="","",0))</f>
        <v/>
      </c>
      <c r="M203" s="15" t="str">
        <f aca="false">IF(AND(D203="Y",F203="採用"),1,IF(D203="","",0))</f>
        <v/>
      </c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5" t="str">
        <f aca="false">IF(AND(D204="Y",F204="不採用"),1,IF(D204="","",0))</f>
        <v/>
      </c>
      <c r="L204" s="15" t="str">
        <f aca="false">IF(AND(D204="N",F204="不採用"),1,IF(D204="","",0))</f>
        <v/>
      </c>
      <c r="M204" s="15" t="str">
        <f aca="false">IF(AND(D204="Y",F204="採用"),1,IF(D204="","",0))</f>
        <v/>
      </c>
    </row>
    <row r="205" customFormat="false" ht="15" hidden="false" customHeight="false" outlineLevel="0" collapsed="false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5" t="str">
        <f aca="false">IF(AND(D205="Y",F205="不採用"),1,IF(D205="","",0))</f>
        <v/>
      </c>
      <c r="L205" s="15" t="str">
        <f aca="false">IF(AND(D205="N",F205="不採用"),1,IF(D205="","",0))</f>
        <v/>
      </c>
      <c r="M205" s="15" t="str">
        <f aca="false">IF(AND(D205="Y",F205="採用"),1,IF(D205="","",0))</f>
        <v/>
      </c>
    </row>
    <row r="206" customFormat="false" ht="15" hidden="false" customHeight="false" outlineLevel="0" collapsed="false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5" t="str">
        <f aca="false">IF(AND(D206="Y",F206="不採用"),1,IF(D206="","",0))</f>
        <v/>
      </c>
      <c r="L206" s="15" t="str">
        <f aca="false">IF(AND(D206="N",F206="不採用"),1,IF(D206="","",0))</f>
        <v/>
      </c>
      <c r="M206" s="15" t="str">
        <f aca="false">IF(AND(D206="Y",F206="採用"),1,IF(D206="","",0))</f>
        <v/>
      </c>
    </row>
    <row r="207" customFormat="false" ht="15" hidden="false" customHeight="false" outlineLevel="0" collapsed="false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5" t="str">
        <f aca="false">IF(AND(D207="Y",F207="不採用"),1,IF(D207="","",0))</f>
        <v/>
      </c>
      <c r="L207" s="15" t="str">
        <f aca="false">IF(AND(D207="N",F207="不採用"),1,IF(D207="","",0))</f>
        <v/>
      </c>
      <c r="M207" s="15" t="str">
        <f aca="false">IF(AND(D207="Y",F207="採用"),1,IF(D207="","",0))</f>
        <v/>
      </c>
    </row>
    <row r="208" customFormat="false" ht="15" hidden="false" customHeight="false" outlineLevel="0" collapsed="false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5" t="str">
        <f aca="false">IF(AND(D208="Y",F208="不採用"),1,IF(D208="","",0))</f>
        <v/>
      </c>
      <c r="L208" s="15" t="str">
        <f aca="false">IF(AND(D208="N",F208="不採用"),1,IF(D208="","",0))</f>
        <v/>
      </c>
      <c r="M208" s="15" t="str">
        <f aca="false">IF(AND(D208="Y",F208="採用"),1,IF(D208="","",0))</f>
        <v/>
      </c>
    </row>
    <row r="209" customFormat="false" ht="15" hidden="false" customHeight="false" outlineLevel="0" collapsed="false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5" t="str">
        <f aca="false">IF(AND(D209="Y",F209="不採用"),1,IF(D209="","",0))</f>
        <v/>
      </c>
      <c r="L209" s="15" t="str">
        <f aca="false">IF(AND(D209="N",F209="不採用"),1,IF(D209="","",0))</f>
        <v/>
      </c>
      <c r="M209" s="15" t="str">
        <f aca="false">IF(AND(D209="Y",F209="採用"),1,IF(D209="","",0))</f>
        <v/>
      </c>
    </row>
    <row r="210" customFormat="false" ht="15" hidden="false" customHeight="false" outlineLevel="0" collapsed="false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5" t="str">
        <f aca="false">IF(AND(D210="Y",F210="不採用"),1,IF(D210="","",0))</f>
        <v/>
      </c>
      <c r="L210" s="15" t="str">
        <f aca="false">IF(AND(D210="N",F210="不採用"),1,IF(D210="","",0))</f>
        <v/>
      </c>
      <c r="M210" s="15" t="str">
        <f aca="false">IF(AND(D210="Y",F210="採用"),1,IF(D210="","",0))</f>
        <v/>
      </c>
    </row>
    <row r="211" customFormat="false" ht="15" hidden="false" customHeight="false" outlineLevel="0" collapsed="false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5" t="str">
        <f aca="false">IF(AND(D211="Y",F211="不採用"),1,IF(D211="","",0))</f>
        <v/>
      </c>
      <c r="L211" s="15" t="str">
        <f aca="false">IF(AND(D211="N",F211="不採用"),1,IF(D211="","",0))</f>
        <v/>
      </c>
      <c r="M211" s="15" t="str">
        <f aca="false">IF(AND(D211="Y",F211="採用"),1,IF(D211="","",0))</f>
        <v/>
      </c>
    </row>
    <row r="212" customFormat="false" ht="15" hidden="false" customHeight="false" outlineLevel="0" collapsed="false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5" t="str">
        <f aca="false">IF(AND(D212="Y",F212="不採用"),1,IF(D212="","",0))</f>
        <v/>
      </c>
      <c r="L212" s="15" t="str">
        <f aca="false">IF(AND(D212="N",F212="不採用"),1,IF(D212="","",0))</f>
        <v/>
      </c>
      <c r="M212" s="15" t="str">
        <f aca="false">IF(AND(D212="Y",F212="採用"),1,IF(D212="","",0))</f>
        <v/>
      </c>
    </row>
    <row r="213" customFormat="false" ht="15" hidden="false" customHeight="false" outlineLevel="0" collapsed="false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5" t="str">
        <f aca="false">IF(AND(D213="Y",F213="不採用"),1,IF(D213="","",0))</f>
        <v/>
      </c>
      <c r="L213" s="15" t="str">
        <f aca="false">IF(AND(D213="N",F213="不採用"),1,IF(D213="","",0))</f>
        <v/>
      </c>
      <c r="M213" s="15" t="str">
        <f aca="false">IF(AND(D213="Y",F213="採用"),1,IF(D213="","",0))</f>
        <v/>
      </c>
    </row>
    <row r="214" customFormat="false" ht="15" hidden="false" customHeight="false" outlineLevel="0" collapsed="false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5" t="str">
        <f aca="false">IF(AND(D214="Y",F214="不採用"),1,IF(D214="","",0))</f>
        <v/>
      </c>
      <c r="L214" s="15" t="str">
        <f aca="false">IF(AND(D214="N",F214="不採用"),1,IF(D214="","",0))</f>
        <v/>
      </c>
      <c r="M214" s="15" t="str">
        <f aca="false">IF(AND(D214="Y",F214="採用"),1,IF(D214="","",0))</f>
        <v/>
      </c>
    </row>
    <row r="215" customFormat="false" ht="15" hidden="false" customHeight="false" outlineLevel="0" collapsed="false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5" t="str">
        <f aca="false">IF(AND(D215="Y",F215="不採用"),1,IF(D215="","",0))</f>
        <v/>
      </c>
      <c r="L215" s="15" t="str">
        <f aca="false">IF(AND(D215="N",F215="不採用"),1,IF(D215="","",0))</f>
        <v/>
      </c>
      <c r="M215" s="15" t="str">
        <f aca="false">IF(AND(D215="Y",F215="採用"),1,IF(D215="","",0))</f>
        <v/>
      </c>
    </row>
    <row r="216" customFormat="false" ht="15" hidden="false" customHeight="false" outlineLevel="0" collapsed="false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5" t="str">
        <f aca="false">IF(AND(D216="Y",F216="不採用"),1,IF(D216="","",0))</f>
        <v/>
      </c>
      <c r="L216" s="15" t="str">
        <f aca="false">IF(AND(D216="N",F216="不採用"),1,IF(D216="","",0))</f>
        <v/>
      </c>
      <c r="M216" s="15" t="str">
        <f aca="false">IF(AND(D216="Y",F216="採用"),1,IF(D216="","",0))</f>
        <v/>
      </c>
    </row>
    <row r="217" customFormat="false" ht="15" hidden="false" customHeight="false" outlineLevel="0" collapsed="false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5" t="str">
        <f aca="false">IF(AND(D217="Y",F217="不採用"),1,IF(D217="","",0))</f>
        <v/>
      </c>
      <c r="L217" s="15" t="str">
        <f aca="false">IF(AND(D217="N",F217="不採用"),1,IF(D217="","",0))</f>
        <v/>
      </c>
      <c r="M217" s="15" t="str">
        <f aca="false">IF(AND(D217="Y",F217="採用"),1,IF(D217="","",0))</f>
        <v/>
      </c>
    </row>
    <row r="218" customFormat="false" ht="15" hidden="false" customHeight="false" outlineLevel="0" collapsed="false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5" t="str">
        <f aca="false">IF(AND(D218="Y",F218="不採用"),1,IF(D218="","",0))</f>
        <v/>
      </c>
      <c r="L218" s="15" t="str">
        <f aca="false">IF(AND(D218="N",F218="不採用"),1,IF(D218="","",0))</f>
        <v/>
      </c>
      <c r="M218" s="15" t="str">
        <f aca="false">IF(AND(D218="Y",F218="採用"),1,IF(D218="","",0))</f>
        <v/>
      </c>
    </row>
    <row r="219" customFormat="false" ht="15" hidden="false" customHeight="false" outlineLevel="0" collapsed="false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5" t="str">
        <f aca="false">IF(AND(D219="Y",F219="不採用"),1,IF(D219="","",0))</f>
        <v/>
      </c>
      <c r="L219" s="15" t="str">
        <f aca="false">IF(AND(D219="N",F219="不採用"),1,IF(D219="","",0))</f>
        <v/>
      </c>
      <c r="M219" s="15" t="str">
        <f aca="false">IF(AND(D219="Y",F219="採用"),1,IF(D219="","",0))</f>
        <v/>
      </c>
    </row>
    <row r="220" customFormat="false" ht="15" hidden="false" customHeight="false" outlineLevel="0" collapsed="false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5" t="str">
        <f aca="false">IF(AND(D220="Y",F220="不採用"),1,IF(D220="","",0))</f>
        <v/>
      </c>
      <c r="L220" s="15" t="str">
        <f aca="false">IF(AND(D220="N",F220="不採用"),1,IF(D220="","",0))</f>
        <v/>
      </c>
      <c r="M220" s="15" t="str">
        <f aca="false">IF(AND(D220="Y",F220="採用"),1,IF(D220="","",0))</f>
        <v/>
      </c>
    </row>
    <row r="221" customFormat="false" ht="15" hidden="false" customHeight="false" outlineLevel="0" collapsed="false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5" t="str">
        <f aca="false">IF(AND(D221="Y",F221="不採用"),1,IF(D221="","",0))</f>
        <v/>
      </c>
      <c r="L221" s="15" t="str">
        <f aca="false">IF(AND(D221="N",F221="不採用"),1,IF(D221="","",0))</f>
        <v/>
      </c>
      <c r="M221" s="15" t="str">
        <f aca="false">IF(AND(D221="Y",F221="採用"),1,IF(D221="","",0))</f>
        <v/>
      </c>
    </row>
    <row r="222" customFormat="false" ht="15" hidden="false" customHeight="false" outlineLevel="0" collapsed="false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5" t="str">
        <f aca="false">IF(AND(D222="Y",F222="不採用"),1,IF(D222="","",0))</f>
        <v/>
      </c>
      <c r="L222" s="15" t="str">
        <f aca="false">IF(AND(D222="N",F222="不採用"),1,IF(D222="","",0))</f>
        <v/>
      </c>
      <c r="M222" s="15" t="str">
        <f aca="false">IF(AND(D222="Y",F222="採用"),1,IF(D222="","",0))</f>
        <v/>
      </c>
    </row>
    <row r="223" customFormat="false" ht="15" hidden="false" customHeight="false" outlineLevel="0" collapsed="false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5" t="str">
        <f aca="false">IF(AND(D223="Y",F223="不採用"),1,IF(D223="","",0))</f>
        <v/>
      </c>
      <c r="L223" s="15" t="str">
        <f aca="false">IF(AND(D223="N",F223="不採用"),1,IF(D223="","",0))</f>
        <v/>
      </c>
      <c r="M223" s="15" t="str">
        <f aca="false">IF(AND(D223="Y",F223="採用"),1,IF(D223="","",0))</f>
        <v/>
      </c>
    </row>
    <row r="224" customFormat="false" ht="15" hidden="false" customHeight="false" outlineLevel="0" collapsed="false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5" t="str">
        <f aca="false">IF(AND(D224="Y",F224="不採用"),1,IF(D224="","",0))</f>
        <v/>
      </c>
      <c r="L224" s="15" t="str">
        <f aca="false">IF(AND(D224="N",F224="不採用"),1,IF(D224="","",0))</f>
        <v/>
      </c>
      <c r="M224" s="15" t="str">
        <f aca="false">IF(AND(D224="Y",F224="採用"),1,IF(D224="","",0))</f>
        <v/>
      </c>
    </row>
    <row r="225" customFormat="false" ht="15" hidden="false" customHeight="false" outlineLevel="0" collapsed="false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5" t="str">
        <f aca="false">IF(AND(D225="Y",F225="不採用"),1,IF(D225="","",0))</f>
        <v/>
      </c>
      <c r="L225" s="15" t="str">
        <f aca="false">IF(AND(D225="N",F225="不採用"),1,IF(D225="","",0))</f>
        <v/>
      </c>
      <c r="M225" s="15" t="str">
        <f aca="false">IF(AND(D225="Y",F225="採用"),1,IF(D225="","",0))</f>
        <v/>
      </c>
    </row>
    <row r="226" customFormat="false" ht="15" hidden="false" customHeight="false" outlineLevel="0" collapsed="false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5" t="str">
        <f aca="false">IF(AND(D226="Y",F226="不採用"),1,IF(D226="","",0))</f>
        <v/>
      </c>
      <c r="L226" s="15" t="str">
        <f aca="false">IF(AND(D226="N",F226="不採用"),1,IF(D226="","",0))</f>
        <v/>
      </c>
      <c r="M226" s="15" t="str">
        <f aca="false">IF(AND(D226="Y",F226="採用"),1,IF(D226="","",0))</f>
        <v/>
      </c>
    </row>
    <row r="227" customFormat="false" ht="15" hidden="false" customHeight="false" outlineLevel="0" collapsed="false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5" t="str">
        <f aca="false">IF(AND(D227="Y",F227="不採用"),1,IF(D227="","",0))</f>
        <v/>
      </c>
      <c r="L227" s="15" t="str">
        <f aca="false">IF(AND(D227="N",F227="不採用"),1,IF(D227="","",0))</f>
        <v/>
      </c>
      <c r="M227" s="15" t="str">
        <f aca="false">IF(AND(D227="Y",F227="採用"),1,IF(D227="","",0))</f>
        <v/>
      </c>
    </row>
    <row r="228" customFormat="false" ht="15" hidden="false" customHeight="false" outlineLevel="0" collapsed="false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5" t="str">
        <f aca="false">IF(AND(D228="Y",F228="不採用"),1,IF(D228="","",0))</f>
        <v/>
      </c>
      <c r="L228" s="15" t="str">
        <f aca="false">IF(AND(D228="N",F228="不採用"),1,IF(D228="","",0))</f>
        <v/>
      </c>
      <c r="M228" s="15" t="str">
        <f aca="false">IF(AND(D228="Y",F228="採用"),1,IF(D228="","",0))</f>
        <v/>
      </c>
    </row>
    <row r="229" customFormat="false" ht="15" hidden="false" customHeight="false" outlineLevel="0" collapsed="false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5" t="str">
        <f aca="false">IF(AND(D229="Y",F229="不採用"),1,IF(D229="","",0))</f>
        <v/>
      </c>
      <c r="L229" s="15" t="str">
        <f aca="false">IF(AND(D229="N",F229="不採用"),1,IF(D229="","",0))</f>
        <v/>
      </c>
      <c r="M229" s="15" t="str">
        <f aca="false">IF(AND(D229="Y",F229="採用"),1,IF(D229="","",0))</f>
        <v/>
      </c>
    </row>
    <row r="230" customFormat="false" ht="15" hidden="false" customHeight="false" outlineLevel="0" collapsed="false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5" t="str">
        <f aca="false">IF(AND(D230="Y",F230="不採用"),1,IF(D230="","",0))</f>
        <v/>
      </c>
      <c r="L230" s="15" t="str">
        <f aca="false">IF(AND(D230="N",F230="不採用"),1,IF(D230="","",0))</f>
        <v/>
      </c>
      <c r="M230" s="15" t="str">
        <f aca="false">IF(AND(D230="Y",F230="採用"),1,IF(D230="","",0))</f>
        <v/>
      </c>
    </row>
    <row r="231" customFormat="false" ht="15" hidden="false" customHeight="false" outlineLevel="0" collapsed="false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5" t="str">
        <f aca="false">IF(AND(D231="Y",F231="不採用"),1,IF(D231="","",0))</f>
        <v/>
      </c>
      <c r="L231" s="15" t="str">
        <f aca="false">IF(AND(D231="N",F231="不採用"),1,IF(D231="","",0))</f>
        <v/>
      </c>
      <c r="M231" s="15" t="str">
        <f aca="false">IF(AND(D231="Y",F231="採用"),1,IF(D231="","",0))</f>
        <v/>
      </c>
    </row>
    <row r="232" customFormat="false" ht="15" hidden="false" customHeight="false" outlineLevel="0" collapsed="false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5" t="str">
        <f aca="false">IF(AND(D232="Y",F232="不採用"),1,IF(D232="","",0))</f>
        <v/>
      </c>
      <c r="L232" s="15" t="str">
        <f aca="false">IF(AND(D232="N",F232="不採用"),1,IF(D232="","",0))</f>
        <v/>
      </c>
      <c r="M232" s="15" t="str">
        <f aca="false">IF(AND(D232="Y",F232="採用"),1,IF(D232="","",0))</f>
        <v/>
      </c>
    </row>
    <row r="233" customFormat="false" ht="15" hidden="false" customHeight="false" outlineLevel="0" collapsed="false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5" t="str">
        <f aca="false">IF(AND(D233="Y",F233="不採用"),1,IF(D233="","",0))</f>
        <v/>
      </c>
      <c r="L233" s="15" t="str">
        <f aca="false">IF(AND(D233="N",F233="不採用"),1,IF(D233="","",0))</f>
        <v/>
      </c>
      <c r="M233" s="15" t="str">
        <f aca="false">IF(AND(D233="Y",F233="採用"),1,IF(D233="","",0))</f>
        <v/>
      </c>
    </row>
    <row r="234" customFormat="false" ht="15" hidden="false" customHeight="false" outlineLevel="0" collapsed="false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5" t="str">
        <f aca="false">IF(AND(D234="Y",F234="不採用"),1,IF(D234="","",0))</f>
        <v/>
      </c>
      <c r="L234" s="15" t="str">
        <f aca="false">IF(AND(D234="N",F234="不採用"),1,IF(D234="","",0))</f>
        <v/>
      </c>
      <c r="M234" s="15" t="str">
        <f aca="false">IF(AND(D234="Y",F234="採用"),1,IF(D234="","",0))</f>
        <v/>
      </c>
    </row>
    <row r="235" customFormat="false" ht="15" hidden="false" customHeight="false" outlineLevel="0" collapsed="false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5" t="str">
        <f aca="false">IF(AND(D235="Y",F235="不採用"),1,IF(D235="","",0))</f>
        <v/>
      </c>
      <c r="L235" s="15" t="str">
        <f aca="false">IF(AND(D235="N",F235="不採用"),1,IF(D235="","",0))</f>
        <v/>
      </c>
      <c r="M235" s="15" t="str">
        <f aca="false">IF(AND(D235="Y",F235="採用"),1,IF(D235="","",0))</f>
        <v/>
      </c>
    </row>
    <row r="236" customFormat="false" ht="15" hidden="false" customHeight="false" outlineLevel="0" collapsed="false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5" t="str">
        <f aca="false">IF(AND(D236="Y",F236="不採用"),1,IF(D236="","",0))</f>
        <v/>
      </c>
      <c r="L236" s="15" t="str">
        <f aca="false">IF(AND(D236="N",F236="不採用"),1,IF(D236="","",0))</f>
        <v/>
      </c>
      <c r="M236" s="15" t="str">
        <f aca="false">IF(AND(D236="Y",F236="採用"),1,IF(D236="","",0))</f>
        <v/>
      </c>
    </row>
    <row r="237" customFormat="false" ht="15" hidden="false" customHeight="false" outlineLevel="0" collapsed="false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5" t="str">
        <f aca="false">IF(AND(D237="Y",F237="不採用"),1,IF(D237="","",0))</f>
        <v/>
      </c>
      <c r="L237" s="15" t="str">
        <f aca="false">IF(AND(D237="N",F237="不採用"),1,IF(D237="","",0))</f>
        <v/>
      </c>
      <c r="M237" s="15" t="str">
        <f aca="false">IF(AND(D237="Y",F237="採用"),1,IF(D237="","",0))</f>
        <v/>
      </c>
    </row>
    <row r="238" customFormat="false" ht="15" hidden="false" customHeight="false" outlineLevel="0" collapsed="false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5" t="str">
        <f aca="false">IF(AND(D238="Y",F238="不採用"),1,IF(D238="","",0))</f>
        <v/>
      </c>
      <c r="L238" s="15" t="str">
        <f aca="false">IF(AND(D238="N",F238="不採用"),1,IF(D238="","",0))</f>
        <v/>
      </c>
      <c r="M238" s="15" t="str">
        <f aca="false">IF(AND(D238="Y",F238="採用"),1,IF(D238="","",0))</f>
        <v/>
      </c>
    </row>
    <row r="239" customFormat="false" ht="15" hidden="false" customHeight="false" outlineLevel="0" collapsed="false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5" t="str">
        <f aca="false">IF(AND(D239="Y",F239="不採用"),1,IF(D239="","",0))</f>
        <v/>
      </c>
      <c r="L239" s="15" t="str">
        <f aca="false">IF(AND(D239="N",F239="不採用"),1,IF(D239="","",0))</f>
        <v/>
      </c>
      <c r="M239" s="15" t="str">
        <f aca="false">IF(AND(D239="Y",F239="採用"),1,IF(D239="","",0))</f>
        <v/>
      </c>
    </row>
    <row r="240" customFormat="false" ht="15" hidden="false" customHeight="false" outlineLevel="0" collapsed="false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5" t="str">
        <f aca="false">IF(AND(D240="Y",F240="不採用"),1,IF(D240="","",0))</f>
        <v/>
      </c>
      <c r="L240" s="15" t="str">
        <f aca="false">IF(AND(D240="N",F240="不採用"),1,IF(D240="","",0))</f>
        <v/>
      </c>
      <c r="M240" s="15" t="str">
        <f aca="false">IF(AND(D240="Y",F240="採用"),1,IF(D240="","",0))</f>
        <v/>
      </c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5" t="str">
        <f aca="false">IF(AND(D241="Y",F241="不採用"),1,IF(D241="","",0))</f>
        <v/>
      </c>
      <c r="L241" s="15" t="str">
        <f aca="false">IF(AND(D241="N",F241="不採用"),1,IF(D241="","",0))</f>
        <v/>
      </c>
      <c r="M241" s="15" t="str">
        <f aca="false">IF(AND(D241="Y",F241="採用"),1,IF(D241="","",0))</f>
        <v/>
      </c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5" t="str">
        <f aca="false">IF(AND(D242="Y",F242="不採用"),1,IF(D242="","",0))</f>
        <v/>
      </c>
      <c r="L242" s="15" t="str">
        <f aca="false">IF(AND(D242="N",F242="不採用"),1,IF(D242="","",0))</f>
        <v/>
      </c>
      <c r="M242" s="15" t="str">
        <f aca="false">IF(AND(D242="Y",F242="採用"),1,IF(D242="","",0))</f>
        <v/>
      </c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5" t="str">
        <f aca="false">IF(AND(D243="Y",F243="不採用"),1,IF(D243="","",0))</f>
        <v/>
      </c>
      <c r="L243" s="15" t="str">
        <f aca="false">IF(AND(D243="N",F243="不採用"),1,IF(D243="","",0))</f>
        <v/>
      </c>
      <c r="M243" s="15" t="str">
        <f aca="false">IF(AND(D243="Y",F243="採用"),1,IF(D243="","",0))</f>
        <v/>
      </c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5" t="str">
        <f aca="false">IF(AND(D244="Y",F244="不採用"),1,IF(D244="","",0))</f>
        <v/>
      </c>
      <c r="L244" s="15" t="str">
        <f aca="false">IF(AND(D244="N",F244="不採用"),1,IF(D244="","",0))</f>
        <v/>
      </c>
      <c r="M244" s="15" t="str">
        <f aca="false">IF(AND(D244="Y",F244="採用"),1,IF(D244="","",0))</f>
        <v/>
      </c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5" t="str">
        <f aca="false">IF(AND(D245="Y",F245="不採用"),1,IF(D245="","",0))</f>
        <v/>
      </c>
      <c r="L245" s="15" t="str">
        <f aca="false">IF(AND(D245="N",F245="不採用"),1,IF(D245="","",0))</f>
        <v/>
      </c>
      <c r="M245" s="15" t="str">
        <f aca="false">IF(AND(D245="Y",F245="採用"),1,IF(D245="","",0))</f>
        <v/>
      </c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5" t="str">
        <f aca="false">IF(AND(D246="Y",F246="不採用"),1,IF(D246="","",0))</f>
        <v/>
      </c>
      <c r="L246" s="15" t="str">
        <f aca="false">IF(AND(D246="N",F246="不採用"),1,IF(D246="","",0))</f>
        <v/>
      </c>
      <c r="M246" s="15" t="str">
        <f aca="false">IF(AND(D246="Y",F246="採用"),1,IF(D246="","",0))</f>
        <v/>
      </c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5" t="str">
        <f aca="false">IF(AND(D247="Y",F247="不採用"),1,IF(D247="","",0))</f>
        <v/>
      </c>
      <c r="L247" s="15" t="str">
        <f aca="false">IF(AND(D247="N",F247="不採用"),1,IF(D247="","",0))</f>
        <v/>
      </c>
      <c r="M247" s="15" t="str">
        <f aca="false">IF(AND(D247="Y",F247="採用"),1,IF(D247="","",0))</f>
        <v/>
      </c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5" t="str">
        <f aca="false">IF(AND(D248="Y",F248="不採用"),1,IF(D248="","",0))</f>
        <v/>
      </c>
      <c r="L248" s="15" t="str">
        <f aca="false">IF(AND(D248="N",F248="不採用"),1,IF(D248="","",0))</f>
        <v/>
      </c>
      <c r="M248" s="15" t="str">
        <f aca="false">IF(AND(D248="Y",F248="採用"),1,IF(D248="","",0))</f>
        <v/>
      </c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5" t="str">
        <f aca="false">IF(AND(D249="Y",F249="不採用"),1,IF(D249="","",0))</f>
        <v/>
      </c>
      <c r="L249" s="15" t="str">
        <f aca="false">IF(AND(D249="N",F249="不採用"),1,IF(D249="","",0))</f>
        <v/>
      </c>
      <c r="M249" s="15" t="str">
        <f aca="false">IF(AND(D249="Y",F249="採用"),1,IF(D249="","",0))</f>
        <v/>
      </c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5" t="str">
        <f aca="false">IF(AND(D250="Y",F250="不採用"),1,IF(D250="","",0))</f>
        <v/>
      </c>
      <c r="L250" s="15" t="str">
        <f aca="false">IF(AND(D250="N",F250="不採用"),1,IF(D250="","",0))</f>
        <v/>
      </c>
      <c r="M250" s="15" t="str">
        <f aca="false">IF(AND(D250="Y",F250="採用"),1,IF(D250="","",0))</f>
        <v/>
      </c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5" t="str">
        <f aca="false">IF(AND(D251="Y",F251="不採用"),1,IF(D251="","",0))</f>
        <v/>
      </c>
      <c r="L251" s="15" t="str">
        <f aca="false">IF(AND(D251="N",F251="不採用"),1,IF(D251="","",0))</f>
        <v/>
      </c>
      <c r="M251" s="15" t="str">
        <f aca="false">IF(AND(D251="Y",F251="採用"),1,IF(D251="","",0))</f>
        <v/>
      </c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5" t="str">
        <f aca="false">IF(AND(D252="Y",F252="不採用"),1,IF(D252="","",0))</f>
        <v/>
      </c>
      <c r="L252" s="15" t="str">
        <f aca="false">IF(AND(D252="N",F252="不採用"),1,IF(D252="","",0))</f>
        <v/>
      </c>
      <c r="M252" s="15" t="str">
        <f aca="false">IF(AND(D252="Y",F252="採用"),1,IF(D252="","",0))</f>
        <v/>
      </c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5" t="str">
        <f aca="false">IF(AND(D253="Y",F253="不採用"),1,IF(D253="","",0))</f>
        <v/>
      </c>
      <c r="L253" s="15" t="str">
        <f aca="false">IF(AND(D253="N",F253="不採用"),1,IF(D253="","",0))</f>
        <v/>
      </c>
      <c r="M253" s="15" t="str">
        <f aca="false">IF(AND(D253="Y",F253="採用"),1,IF(D253="","",0))</f>
        <v/>
      </c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5" t="str">
        <f aca="false">IF(AND(D254="Y",F254="不採用"),1,IF(D254="","",0))</f>
        <v/>
      </c>
      <c r="L254" s="15" t="str">
        <f aca="false">IF(AND(D254="N",F254="不採用"),1,IF(D254="","",0))</f>
        <v/>
      </c>
      <c r="M254" s="15" t="str">
        <f aca="false">IF(AND(D254="Y",F254="採用"),1,IF(D254="","",0))</f>
        <v/>
      </c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5" t="str">
        <f aca="false">IF(AND(D255="Y",F255="不採用"),1,IF(D255="","",0))</f>
        <v/>
      </c>
      <c r="L255" s="15" t="str">
        <f aca="false">IF(AND(D255="N",F255="不採用"),1,IF(D255="","",0))</f>
        <v/>
      </c>
      <c r="M255" s="15" t="str">
        <f aca="false">IF(AND(D255="Y",F255="採用"),1,IF(D255="","",0))</f>
        <v/>
      </c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5" t="str">
        <f aca="false">IF(AND(D256="Y",F256="不採用"),1,IF(D256="","",0))</f>
        <v/>
      </c>
      <c r="L256" s="15" t="str">
        <f aca="false">IF(AND(D256="N",F256="不採用"),1,IF(D256="","",0))</f>
        <v/>
      </c>
      <c r="M256" s="15" t="str">
        <f aca="false">IF(AND(D256="Y",F256="採用"),1,IF(D256="","",0))</f>
        <v/>
      </c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5" t="str">
        <f aca="false">IF(AND(D257="Y",F257="不採用"),1,IF(D257="","",0))</f>
        <v/>
      </c>
      <c r="L257" s="15" t="str">
        <f aca="false">IF(AND(D257="N",F257="不採用"),1,IF(D257="","",0))</f>
        <v/>
      </c>
      <c r="M257" s="15" t="str">
        <f aca="false">IF(AND(D257="Y",F257="採用"),1,IF(D257="","",0))</f>
        <v/>
      </c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5" t="str">
        <f aca="false">IF(AND(D258="Y",F258="不採用"),1,IF(D258="","",0))</f>
        <v/>
      </c>
      <c r="L258" s="15" t="str">
        <f aca="false">IF(AND(D258="N",F258="不採用"),1,IF(D258="","",0))</f>
        <v/>
      </c>
      <c r="M258" s="15" t="str">
        <f aca="false">IF(AND(D258="Y",F258="採用"),1,IF(D258="","",0))</f>
        <v/>
      </c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5" t="str">
        <f aca="false">IF(AND(D259="Y",F259="不採用"),1,IF(D259="","",0))</f>
        <v/>
      </c>
      <c r="L259" s="15" t="str">
        <f aca="false">IF(AND(D259="N",F259="不採用"),1,IF(D259="","",0))</f>
        <v/>
      </c>
      <c r="M259" s="15" t="str">
        <f aca="false">IF(AND(D259="Y",F259="採用"),1,IF(D259="","",0))</f>
        <v/>
      </c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5" t="str">
        <f aca="false">IF(AND(D260="Y",F260="不採用"),1,IF(D260="","",0))</f>
        <v/>
      </c>
      <c r="L260" s="15" t="str">
        <f aca="false">IF(AND(D260="N",F260="不採用"),1,IF(D260="","",0))</f>
        <v/>
      </c>
      <c r="M260" s="15" t="str">
        <f aca="false">IF(AND(D260="Y",F260="採用"),1,IF(D260="","",0))</f>
        <v/>
      </c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5" t="str">
        <f aca="false">IF(AND(D261="Y",F261="不採用"),1,IF(D261="","",0))</f>
        <v/>
      </c>
      <c r="L261" s="15" t="str">
        <f aca="false">IF(AND(D261="N",F261="不採用"),1,IF(D261="","",0))</f>
        <v/>
      </c>
      <c r="M261" s="15" t="str">
        <f aca="false">IF(AND(D261="Y",F261="採用"),1,IF(D261="","",0))</f>
        <v/>
      </c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5" t="str">
        <f aca="false">IF(AND(D262="Y",F262="不採用"),1,IF(D262="","",0))</f>
        <v/>
      </c>
      <c r="L262" s="15" t="str">
        <f aca="false">IF(AND(D262="N",F262="不採用"),1,IF(D262="","",0))</f>
        <v/>
      </c>
      <c r="M262" s="15" t="str">
        <f aca="false">IF(AND(D262="Y",F262="採用"),1,IF(D262="","",0))</f>
        <v/>
      </c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5" t="str">
        <f aca="false">IF(AND(D263="Y",F263="不採用"),1,IF(D263="","",0))</f>
        <v/>
      </c>
      <c r="L263" s="15" t="str">
        <f aca="false">IF(AND(D263="N",F263="不採用"),1,IF(D263="","",0))</f>
        <v/>
      </c>
      <c r="M263" s="15" t="str">
        <f aca="false">IF(AND(D263="Y",F263="採用"),1,IF(D263="","",0))</f>
        <v/>
      </c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5" t="str">
        <f aca="false">IF(AND(D264="Y",F264="不採用"),1,IF(D264="","",0))</f>
        <v/>
      </c>
      <c r="L264" s="15" t="str">
        <f aca="false">IF(AND(D264="N",F264="不採用"),1,IF(D264="","",0))</f>
        <v/>
      </c>
      <c r="M264" s="15" t="str">
        <f aca="false">IF(AND(D264="Y",F264="採用"),1,IF(D264="","",0))</f>
        <v/>
      </c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5" t="str">
        <f aca="false">IF(AND(D265="Y",F265="不採用"),1,IF(D265="","",0))</f>
        <v/>
      </c>
      <c r="L265" s="15" t="str">
        <f aca="false">IF(AND(D265="N",F265="不採用"),1,IF(D265="","",0))</f>
        <v/>
      </c>
      <c r="M265" s="15" t="str">
        <f aca="false">IF(AND(D265="Y",F265="採用"),1,IF(D265="","",0))</f>
        <v/>
      </c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5" t="str">
        <f aca="false">IF(AND(D266="Y",F266="不採用"),1,IF(D266="","",0))</f>
        <v/>
      </c>
      <c r="L266" s="15" t="str">
        <f aca="false">IF(AND(D266="N",F266="不採用"),1,IF(D266="","",0))</f>
        <v/>
      </c>
      <c r="M266" s="15" t="str">
        <f aca="false">IF(AND(D266="Y",F266="採用"),1,IF(D266="","",0))</f>
        <v/>
      </c>
    </row>
    <row r="267" customFormat="false" ht="15" hidden="false" customHeight="fals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5" t="str">
        <f aca="false">IF(AND(D267="Y",F267="不採用"),1,IF(D267="","",0))</f>
        <v/>
      </c>
      <c r="L267" s="15" t="str">
        <f aca="false">IF(AND(D267="N",F267="不採用"),1,IF(D267="","",0))</f>
        <v/>
      </c>
      <c r="M267" s="15" t="str">
        <f aca="false">IF(AND(D267="Y",F267="採用"),1,IF(D267="","",0))</f>
        <v/>
      </c>
    </row>
    <row r="268" customFormat="false" ht="15" hidden="false" customHeight="fals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5" t="str">
        <f aca="false">IF(AND(D268="Y",F268="不採用"),1,IF(D268="","",0))</f>
        <v/>
      </c>
      <c r="L268" s="15" t="str">
        <f aca="false">IF(AND(D268="N",F268="不採用"),1,IF(D268="","",0))</f>
        <v/>
      </c>
      <c r="M268" s="15" t="str">
        <f aca="false">IF(AND(D268="Y",F268="採用"),1,IF(D268="","",0))</f>
        <v/>
      </c>
    </row>
    <row r="269" customFormat="false" ht="15" hidden="false" customHeight="fals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5" t="str">
        <f aca="false">IF(AND(D269="Y",F269="不採用"),1,IF(D269="","",0))</f>
        <v/>
      </c>
      <c r="L269" s="15" t="str">
        <f aca="false">IF(AND(D269="N",F269="不採用"),1,IF(D269="","",0))</f>
        <v/>
      </c>
      <c r="M269" s="15" t="str">
        <f aca="false">IF(AND(D269="Y",F269="採用"),1,IF(D269="","",0))</f>
        <v/>
      </c>
    </row>
    <row r="270" customFormat="false" ht="15" hidden="false" customHeight="fals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5" t="str">
        <f aca="false">IF(AND(D270="Y",F270="不採用"),1,IF(D270="","",0))</f>
        <v/>
      </c>
      <c r="L270" s="15" t="str">
        <f aca="false">IF(AND(D270="N",F270="不採用"),1,IF(D270="","",0))</f>
        <v/>
      </c>
      <c r="M270" s="15" t="str">
        <f aca="false">IF(AND(D270="Y",F270="採用"),1,IF(D270="","",0))</f>
        <v/>
      </c>
    </row>
    <row r="271" customFormat="false" ht="15" hidden="false" customHeight="fals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5" t="str">
        <f aca="false">IF(AND(D271="Y",F271="不採用"),1,IF(D271="","",0))</f>
        <v/>
      </c>
      <c r="L271" s="15" t="str">
        <f aca="false">IF(AND(D271="N",F271="不採用"),1,IF(D271="","",0))</f>
        <v/>
      </c>
      <c r="M271" s="15" t="str">
        <f aca="false">IF(AND(D271="Y",F271="採用"),1,IF(D271="","",0))</f>
        <v/>
      </c>
    </row>
    <row r="272" customFormat="false" ht="15" hidden="false" customHeight="fals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5" t="str">
        <f aca="false">IF(AND(D272="Y",F272="不採用"),1,IF(D272="","",0))</f>
        <v/>
      </c>
      <c r="L272" s="15" t="str">
        <f aca="false">IF(AND(D272="N",F272="不採用"),1,IF(D272="","",0))</f>
        <v/>
      </c>
      <c r="M272" s="15" t="str">
        <f aca="false">IF(AND(D272="Y",F272="採用"),1,IF(D272="","",0))</f>
        <v/>
      </c>
    </row>
    <row r="273" customFormat="false" ht="15" hidden="false" customHeight="fals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5" t="str">
        <f aca="false">IF(AND(D273="Y",F273="不採用"),1,IF(D273="","",0))</f>
        <v/>
      </c>
      <c r="L273" s="15" t="str">
        <f aca="false">IF(AND(D273="N",F273="不採用"),1,IF(D273="","",0))</f>
        <v/>
      </c>
      <c r="M273" s="15" t="str">
        <f aca="false">IF(AND(D273="Y",F273="採用"),1,IF(D273="","",0))</f>
        <v/>
      </c>
    </row>
    <row r="274" customFormat="false" ht="15" hidden="false" customHeight="fals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5" t="str">
        <f aca="false">IF(AND(D274="Y",F274="不採用"),1,IF(D274="","",0))</f>
        <v/>
      </c>
      <c r="L274" s="15" t="str">
        <f aca="false">IF(AND(D274="N",F274="不採用"),1,IF(D274="","",0))</f>
        <v/>
      </c>
      <c r="M274" s="15" t="str">
        <f aca="false">IF(AND(D274="Y",F274="採用"),1,IF(D274="","",0))</f>
        <v/>
      </c>
    </row>
    <row r="275" customFormat="false" ht="15" hidden="false" customHeight="fals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5" t="str">
        <f aca="false">IF(AND(D275="Y",F275="不採用"),1,IF(D275="","",0))</f>
        <v/>
      </c>
      <c r="L275" s="15" t="str">
        <f aca="false">IF(AND(D275="N",F275="不採用"),1,IF(D275="","",0))</f>
        <v/>
      </c>
      <c r="M275" s="15" t="str">
        <f aca="false">IF(AND(D275="Y",F275="採用"),1,IF(D275="","",0))</f>
        <v/>
      </c>
    </row>
    <row r="276" customFormat="false" ht="15" hidden="false" customHeight="fals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5" t="str">
        <f aca="false">IF(AND(D276="Y",F276="不採用"),1,IF(D276="","",0))</f>
        <v/>
      </c>
      <c r="L276" s="15" t="str">
        <f aca="false">IF(AND(D276="N",F276="不採用"),1,IF(D276="","",0))</f>
        <v/>
      </c>
      <c r="M276" s="15" t="str">
        <f aca="false">IF(AND(D276="Y",F276="採用"),1,IF(D276="","",0))</f>
        <v/>
      </c>
    </row>
    <row r="277" customFormat="false" ht="15" hidden="false" customHeight="fals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5" t="str">
        <f aca="false">IF(AND(D277="Y",F277="不採用"),1,IF(D277="","",0))</f>
        <v/>
      </c>
      <c r="L277" s="15" t="str">
        <f aca="false">IF(AND(D277="N",F277="不採用"),1,IF(D277="","",0))</f>
        <v/>
      </c>
      <c r="M277" s="15" t="str">
        <f aca="false">IF(AND(D277="Y",F277="採用"),1,IF(D277="","",0))</f>
        <v/>
      </c>
    </row>
    <row r="278" customFormat="false" ht="15" hidden="false" customHeight="fals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5" t="str">
        <f aca="false">IF(AND(D278="Y",F278="不採用"),1,IF(D278="","",0))</f>
        <v/>
      </c>
      <c r="L278" s="15" t="str">
        <f aca="false">IF(AND(D278="N",F278="不採用"),1,IF(D278="","",0))</f>
        <v/>
      </c>
      <c r="M278" s="15" t="str">
        <f aca="false">IF(AND(D278="Y",F278="採用"),1,IF(D278="","",0))</f>
        <v/>
      </c>
    </row>
    <row r="279" customFormat="false" ht="15" hidden="false" customHeight="fals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5" t="str">
        <f aca="false">IF(AND(D279="Y",F279="不採用"),1,IF(D279="","",0))</f>
        <v/>
      </c>
      <c r="L279" s="15" t="str">
        <f aca="false">IF(AND(D279="N",F279="不採用"),1,IF(D279="","",0))</f>
        <v/>
      </c>
      <c r="M279" s="15" t="str">
        <f aca="false">IF(AND(D279="Y",F279="採用"),1,IF(D279="","",0))</f>
        <v/>
      </c>
    </row>
    <row r="280" customFormat="false" ht="15" hidden="false" customHeight="fals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5" t="str">
        <f aca="false">IF(AND(D280="Y",F280="不採用"),1,IF(D280="","",0))</f>
        <v/>
      </c>
      <c r="L280" s="15" t="str">
        <f aca="false">IF(AND(D280="N",F280="不採用"),1,IF(D280="","",0))</f>
        <v/>
      </c>
      <c r="M280" s="15" t="str">
        <f aca="false">IF(AND(D280="Y",F280="採用"),1,IF(D280="","",0))</f>
        <v/>
      </c>
    </row>
    <row r="281" customFormat="false" ht="15" hidden="false" customHeight="fals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5" t="str">
        <f aca="false">IF(AND(D281="Y",F281="不採用"),1,IF(D281="","",0))</f>
        <v/>
      </c>
      <c r="L281" s="15" t="str">
        <f aca="false">IF(AND(D281="N",F281="不採用"),1,IF(D281="","",0))</f>
        <v/>
      </c>
      <c r="M281" s="15" t="str">
        <f aca="false">IF(AND(D281="Y",F281="採用"),1,IF(D281="","",0))</f>
        <v/>
      </c>
    </row>
    <row r="282" customFormat="false" ht="15" hidden="false" customHeight="fals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5" t="str">
        <f aca="false">IF(AND(D282="Y",F282="不採用"),1,IF(D282="","",0))</f>
        <v/>
      </c>
      <c r="L282" s="15" t="str">
        <f aca="false">IF(AND(D282="N",F282="不採用"),1,IF(D282="","",0))</f>
        <v/>
      </c>
      <c r="M282" s="15" t="str">
        <f aca="false">IF(AND(D282="Y",F282="採用"),1,IF(D282="","",0))</f>
        <v/>
      </c>
    </row>
    <row r="283" customFormat="false" ht="15" hidden="false" customHeight="fals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5" t="str">
        <f aca="false">IF(AND(D283="Y",F283="不採用"),1,IF(D283="","",0))</f>
        <v/>
      </c>
      <c r="L283" s="15" t="str">
        <f aca="false">IF(AND(D283="N",F283="不採用"),1,IF(D283="","",0))</f>
        <v/>
      </c>
      <c r="M283" s="15" t="str">
        <f aca="false">IF(AND(D283="Y",F283="採用"),1,IF(D283="","",0))</f>
        <v/>
      </c>
    </row>
    <row r="284" customFormat="false" ht="15" hidden="false" customHeight="fals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5" t="str">
        <f aca="false">IF(AND(D284="Y",F284="不採用"),1,IF(D284="","",0))</f>
        <v/>
      </c>
      <c r="L284" s="15" t="str">
        <f aca="false">IF(AND(D284="N",F284="不採用"),1,IF(D284="","",0))</f>
        <v/>
      </c>
      <c r="M284" s="15" t="str">
        <f aca="false">IF(AND(D284="Y",F284="採用"),1,IF(D284="","",0))</f>
        <v/>
      </c>
    </row>
    <row r="285" customFormat="false" ht="15" hidden="false" customHeight="fals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5" t="str">
        <f aca="false">IF(AND(D285="Y",F285="不採用"),1,IF(D285="","",0))</f>
        <v/>
      </c>
      <c r="L285" s="15" t="str">
        <f aca="false">IF(AND(D285="N",F285="不採用"),1,IF(D285="","",0))</f>
        <v/>
      </c>
      <c r="M285" s="15" t="str">
        <f aca="false">IF(AND(D285="Y",F285="採用"),1,IF(D285="","",0))</f>
        <v/>
      </c>
    </row>
    <row r="286" customFormat="false" ht="15" hidden="false" customHeight="fals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5" t="str">
        <f aca="false">IF(AND(D286="Y",F286="不採用"),1,IF(D286="","",0))</f>
        <v/>
      </c>
      <c r="L286" s="15" t="str">
        <f aca="false">IF(AND(D286="N",F286="不採用"),1,IF(D286="","",0))</f>
        <v/>
      </c>
      <c r="M286" s="15" t="str">
        <f aca="false">IF(AND(D286="Y",F286="採用"),1,IF(D286="","",0))</f>
        <v/>
      </c>
    </row>
    <row r="287" customFormat="false" ht="15" hidden="false" customHeight="fals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5" t="str">
        <f aca="false">IF(AND(D287="Y",F287="不採用"),1,IF(D287="","",0))</f>
        <v/>
      </c>
      <c r="L287" s="15" t="str">
        <f aca="false">IF(AND(D287="N",F287="不採用"),1,IF(D287="","",0))</f>
        <v/>
      </c>
      <c r="M287" s="15" t="str">
        <f aca="false">IF(AND(D287="Y",F287="採用"),1,IF(D287="","",0))</f>
        <v/>
      </c>
    </row>
    <row r="288" customFormat="false" ht="15" hidden="false" customHeight="fals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5" t="str">
        <f aca="false">IF(AND(D288="Y",F288="不採用"),1,IF(D288="","",0))</f>
        <v/>
      </c>
      <c r="L288" s="15" t="str">
        <f aca="false">IF(AND(D288="N",F288="不採用"),1,IF(D288="","",0))</f>
        <v/>
      </c>
      <c r="M288" s="15" t="str">
        <f aca="false">IF(AND(D288="Y",F288="採用"),1,IF(D288="","",0))</f>
        <v/>
      </c>
    </row>
    <row r="289" customFormat="false" ht="15" hidden="false" customHeight="fals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5" t="str">
        <f aca="false">IF(AND(D289="Y",F289="不採用"),1,IF(D289="","",0))</f>
        <v/>
      </c>
      <c r="L289" s="15" t="str">
        <f aca="false">IF(AND(D289="N",F289="不採用"),1,IF(D289="","",0))</f>
        <v/>
      </c>
      <c r="M289" s="15" t="str">
        <f aca="false">IF(AND(D289="Y",F289="採用"),1,IF(D289="","",0))</f>
        <v/>
      </c>
    </row>
    <row r="290" customFormat="false" ht="15" hidden="false" customHeight="fals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5" t="str">
        <f aca="false">IF(AND(D290="Y",F290="不採用"),1,IF(D290="","",0))</f>
        <v/>
      </c>
      <c r="L290" s="15" t="str">
        <f aca="false">IF(AND(D290="N",F290="不採用"),1,IF(D290="","",0))</f>
        <v/>
      </c>
      <c r="M290" s="15" t="str">
        <f aca="false">IF(AND(D290="Y",F290="採用"),1,IF(D290="","",0))</f>
        <v/>
      </c>
    </row>
    <row r="291" customFormat="false" ht="15" hidden="false" customHeight="fals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5" t="str">
        <f aca="false">IF(AND(D291="Y",F291="不採用"),1,IF(D291="","",0))</f>
        <v/>
      </c>
      <c r="L291" s="15" t="str">
        <f aca="false">IF(AND(D291="N",F291="不採用"),1,IF(D291="","",0))</f>
        <v/>
      </c>
      <c r="M291" s="15" t="str">
        <f aca="false">IF(AND(D291="Y",F291="採用"),1,IF(D291="","",0))</f>
        <v/>
      </c>
    </row>
    <row r="292" customFormat="false" ht="15" hidden="false" customHeight="fals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5" t="str">
        <f aca="false">IF(AND(D292="Y",F292="不採用"),1,IF(D292="","",0))</f>
        <v/>
      </c>
      <c r="L292" s="15" t="str">
        <f aca="false">IF(AND(D292="N",F292="不採用"),1,IF(D292="","",0))</f>
        <v/>
      </c>
      <c r="M292" s="15" t="str">
        <f aca="false">IF(AND(D292="Y",F292="採用"),1,IF(D292="","",0))</f>
        <v/>
      </c>
    </row>
    <row r="293" customFormat="false" ht="15" hidden="false" customHeight="fals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5" t="str">
        <f aca="false">IF(AND(D293="Y",F293="不採用"),1,IF(D293="","",0))</f>
        <v/>
      </c>
      <c r="L293" s="15" t="str">
        <f aca="false">IF(AND(D293="N",F293="不採用"),1,IF(D293="","",0))</f>
        <v/>
      </c>
      <c r="M293" s="15" t="str">
        <f aca="false">IF(AND(D293="Y",F293="採用"),1,IF(D293="","",0))</f>
        <v/>
      </c>
    </row>
    <row r="294" customFormat="false" ht="15" hidden="false" customHeight="fals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5" t="str">
        <f aca="false">IF(AND(D294="Y",F294="不採用"),1,IF(D294="","",0))</f>
        <v/>
      </c>
      <c r="L294" s="15" t="str">
        <f aca="false">IF(AND(D294="N",F294="不採用"),1,IF(D294="","",0))</f>
        <v/>
      </c>
      <c r="M294" s="15" t="str">
        <f aca="false">IF(AND(D294="Y",F294="採用"),1,IF(D294="","",0))</f>
        <v/>
      </c>
    </row>
    <row r="295" customFormat="false" ht="15" hidden="false" customHeight="fals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5" t="str">
        <f aca="false">IF(AND(D295="Y",F295="不採用"),1,IF(D295="","",0))</f>
        <v/>
      </c>
      <c r="L295" s="15" t="str">
        <f aca="false">IF(AND(D295="N",F295="不採用"),1,IF(D295="","",0))</f>
        <v/>
      </c>
      <c r="M295" s="15" t="str">
        <f aca="false">IF(AND(D295="Y",F295="採用"),1,IF(D295="","",0))</f>
        <v/>
      </c>
    </row>
    <row r="296" customFormat="false" ht="15" hidden="false" customHeight="fals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5" t="str">
        <f aca="false">IF(AND(D296="Y",F296="不採用"),1,IF(D296="","",0))</f>
        <v/>
      </c>
      <c r="L296" s="15" t="str">
        <f aca="false">IF(AND(D296="N",F296="不採用"),1,IF(D296="","",0))</f>
        <v/>
      </c>
      <c r="M296" s="15" t="str">
        <f aca="false">IF(AND(D296="Y",F296="採用"),1,IF(D296="","",0))</f>
        <v/>
      </c>
    </row>
    <row r="297" customFormat="false" ht="15" hidden="false" customHeight="fals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5" t="str">
        <f aca="false">IF(AND(D297="Y",F297="不採用"),1,IF(D297="","",0))</f>
        <v/>
      </c>
      <c r="L297" s="15" t="str">
        <f aca="false">IF(AND(D297="N",F297="不採用"),1,IF(D297="","",0))</f>
        <v/>
      </c>
      <c r="M297" s="15" t="str">
        <f aca="false">IF(AND(D297="Y",F297="採用"),1,IF(D297="","",0))</f>
        <v/>
      </c>
    </row>
    <row r="298" customFormat="false" ht="15" hidden="false" customHeight="fals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5" t="str">
        <f aca="false">IF(AND(D298="Y",F298="不採用"),1,IF(D298="","",0))</f>
        <v/>
      </c>
      <c r="L298" s="15" t="str">
        <f aca="false">IF(AND(D298="N",F298="不採用"),1,IF(D298="","",0))</f>
        <v/>
      </c>
      <c r="M298" s="15" t="str">
        <f aca="false">IF(AND(D298="Y",F298="採用"),1,IF(D298="","",0))</f>
        <v/>
      </c>
    </row>
    <row r="299" customFormat="false" ht="15" hidden="false" customHeight="fals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5" t="str">
        <f aca="false">IF(AND(D299="Y",F299="不採用"),1,IF(D299="","",0))</f>
        <v/>
      </c>
      <c r="L299" s="15" t="str">
        <f aca="false">IF(AND(D299="N",F299="不採用"),1,IF(D299="","",0))</f>
        <v/>
      </c>
      <c r="M299" s="15" t="str">
        <f aca="false">IF(AND(D299="Y",F299="採用"),1,IF(D299="","",0))</f>
        <v/>
      </c>
    </row>
    <row r="300" customFormat="false" ht="15" hidden="false" customHeight="fals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5" t="str">
        <f aca="false">IF(AND(D300="Y",F300="不採用"),1,IF(D300="","",0))</f>
        <v/>
      </c>
      <c r="L300" s="15" t="str">
        <f aca="false">IF(AND(D300="N",F300="不採用"),1,IF(D300="","",0))</f>
        <v/>
      </c>
      <c r="M300" s="15" t="str">
        <f aca="false">IF(AND(D300="Y",F300="採用"),1,IF(D300="","",0))</f>
        <v/>
      </c>
    </row>
    <row r="301" customFormat="false" ht="15" hidden="false" customHeight="fals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5" t="str">
        <f aca="false">IF(AND(D301="Y",F301="不採用"),1,IF(D301="","",0))</f>
        <v/>
      </c>
      <c r="L301" s="15" t="str">
        <f aca="false">IF(AND(D301="N",F301="不採用"),1,IF(D301="","",0))</f>
        <v/>
      </c>
      <c r="M301" s="15" t="str">
        <f aca="false">IF(AND(D301="Y",F301="採用"),1,IF(D301="","",0))</f>
        <v/>
      </c>
    </row>
    <row r="302" customFormat="false" ht="15" hidden="false" customHeight="fals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5" t="str">
        <f aca="false">IF(AND(D302="Y",F302="不採用"),1,IF(D302="","",0))</f>
        <v/>
      </c>
      <c r="L302" s="15" t="str">
        <f aca="false">IF(AND(D302="N",F302="不採用"),1,IF(D302="","",0))</f>
        <v/>
      </c>
      <c r="M302" s="15" t="str">
        <f aca="false">IF(AND(D302="Y",F302="採用"),1,IF(D302="","",0))</f>
        <v/>
      </c>
    </row>
    <row r="303" customFormat="false" ht="15" hidden="false" customHeight="fals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5" t="str">
        <f aca="false">IF(AND(D303="Y",F303="不採用"),1,IF(D303="","",0))</f>
        <v/>
      </c>
      <c r="L303" s="15" t="str">
        <f aca="false">IF(AND(D303="N",F303="不採用"),1,IF(D303="","",0))</f>
        <v/>
      </c>
      <c r="M303" s="15" t="str">
        <f aca="false">IF(AND(D303="Y",F303="採用"),1,IF(D303="","",0))</f>
        <v/>
      </c>
    </row>
    <row r="304" customFormat="false" ht="15" hidden="false" customHeight="fals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5" t="str">
        <f aca="false">IF(AND(D304="Y",F304="不採用"),1,IF(D304="","",0))</f>
        <v/>
      </c>
      <c r="L304" s="15" t="str">
        <f aca="false">IF(AND(D304="N",F304="不採用"),1,IF(D304="","",0))</f>
        <v/>
      </c>
      <c r="M304" s="15" t="str">
        <f aca="false">IF(AND(D304="Y",F304="採用"),1,IF(D304="","",0))</f>
        <v/>
      </c>
    </row>
    <row r="305" customFormat="false" ht="15" hidden="false" customHeight="fals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5" t="str">
        <f aca="false">IF(AND(D305="Y",F305="不採用"),1,IF(D305="","",0))</f>
        <v/>
      </c>
      <c r="L305" s="15" t="str">
        <f aca="false">IF(AND(D305="N",F305="不採用"),1,IF(D305="","",0))</f>
        <v/>
      </c>
      <c r="M305" s="15" t="str">
        <f aca="false">IF(AND(D305="Y",F305="採用"),1,IF(D305="","",0))</f>
        <v/>
      </c>
    </row>
    <row r="306" customFormat="false" ht="15" hidden="false" customHeight="fals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5" t="str">
        <f aca="false">IF(AND(D306="Y",F306="不採用"),1,IF(D306="","",0))</f>
        <v/>
      </c>
      <c r="L306" s="15" t="str">
        <f aca="false">IF(AND(D306="N",F306="不採用"),1,IF(D306="","",0))</f>
        <v/>
      </c>
      <c r="M306" s="15" t="str">
        <f aca="false">IF(AND(D306="Y",F306="採用"),1,IF(D306="","",0))</f>
        <v/>
      </c>
    </row>
    <row r="307" customFormat="false" ht="15" hidden="false" customHeight="fals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5" t="str">
        <f aca="false">IF(AND(D307="Y",F307="不採用"),1,IF(D307="","",0))</f>
        <v/>
      </c>
      <c r="L307" s="15" t="str">
        <f aca="false">IF(AND(D307="N",F307="不採用"),1,IF(D307="","",0))</f>
        <v/>
      </c>
      <c r="M307" s="15" t="str">
        <f aca="false">IF(AND(D307="Y",F307="採用"),1,IF(D307="","",0))</f>
        <v/>
      </c>
    </row>
    <row r="308" customFormat="false" ht="15" hidden="false" customHeight="fals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5" t="str">
        <f aca="false">IF(AND(D308="Y",F308="不採用"),1,IF(D308="","",0))</f>
        <v/>
      </c>
      <c r="L308" s="15" t="str">
        <f aca="false">IF(AND(D308="N",F308="不採用"),1,IF(D308="","",0))</f>
        <v/>
      </c>
      <c r="M308" s="15" t="str">
        <f aca="false">IF(AND(D308="Y",F308="採用"),1,IF(D308="","",0))</f>
        <v/>
      </c>
    </row>
    <row r="309" customFormat="false" ht="15" hidden="false" customHeight="fals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5" t="str">
        <f aca="false">IF(AND(D309="Y",F309="不採用"),1,IF(D309="","",0))</f>
        <v/>
      </c>
      <c r="L309" s="15" t="str">
        <f aca="false">IF(AND(D309="N",F309="不採用"),1,IF(D309="","",0))</f>
        <v/>
      </c>
      <c r="M309" s="15" t="str">
        <f aca="false">IF(AND(D309="Y",F309="採用"),1,IF(D309="","",0))</f>
        <v/>
      </c>
    </row>
    <row r="310" customFormat="false" ht="15" hidden="false" customHeight="fals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5" t="str">
        <f aca="false">IF(AND(D310="Y",F310="不採用"),1,IF(D310="","",0))</f>
        <v/>
      </c>
      <c r="L310" s="15" t="str">
        <f aca="false">IF(AND(D310="N",F310="不採用"),1,IF(D310="","",0))</f>
        <v/>
      </c>
      <c r="M310" s="15" t="str">
        <f aca="false">IF(AND(D310="Y",F310="採用"),1,IF(D310="","",0))</f>
        <v/>
      </c>
    </row>
    <row r="311" customFormat="false" ht="15" hidden="false" customHeight="fals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5" t="str">
        <f aca="false">IF(AND(D311="Y",F311="不採用"),1,IF(D311="","",0))</f>
        <v/>
      </c>
      <c r="L311" s="15" t="str">
        <f aca="false">IF(AND(D311="N",F311="不採用"),1,IF(D311="","",0))</f>
        <v/>
      </c>
      <c r="M311" s="15" t="str">
        <f aca="false">IF(AND(D311="Y",F311="採用"),1,IF(D311="","",0))</f>
        <v/>
      </c>
    </row>
    <row r="312" customFormat="false" ht="15" hidden="false" customHeight="fals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5" t="str">
        <f aca="false">IF(AND(D312="Y",F312="不採用"),1,IF(D312="","",0))</f>
        <v/>
      </c>
      <c r="L312" s="15" t="str">
        <f aca="false">IF(AND(D312="N",F312="不採用"),1,IF(D312="","",0))</f>
        <v/>
      </c>
      <c r="M312" s="15" t="str">
        <f aca="false">IF(AND(D312="Y",F312="採用"),1,IF(D312="","",0))</f>
        <v/>
      </c>
    </row>
    <row r="313" customFormat="false" ht="15" hidden="false" customHeight="fals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5" t="str">
        <f aca="false">IF(AND(D313="Y",F313="不採用"),1,IF(D313="","",0))</f>
        <v/>
      </c>
      <c r="L313" s="15" t="str">
        <f aca="false">IF(AND(D313="N",F313="不採用"),1,IF(D313="","",0))</f>
        <v/>
      </c>
      <c r="M313" s="15" t="str">
        <f aca="false">IF(AND(D313="Y",F313="採用"),1,IF(D313="","",0))</f>
        <v/>
      </c>
    </row>
    <row r="314" customFormat="false" ht="15" hidden="false" customHeight="fals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5" t="str">
        <f aca="false">IF(AND(D314="Y",F314="不採用"),1,IF(D314="","",0))</f>
        <v/>
      </c>
      <c r="L314" s="15" t="str">
        <f aca="false">IF(AND(D314="N",F314="不採用"),1,IF(D314="","",0))</f>
        <v/>
      </c>
      <c r="M314" s="15" t="str">
        <f aca="false">IF(AND(D314="Y",F314="採用"),1,IF(D314="","",0))</f>
        <v/>
      </c>
    </row>
    <row r="315" customFormat="false" ht="15" hidden="false" customHeight="fals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5" t="str">
        <f aca="false">IF(AND(D315="Y",F315="不採用"),1,IF(D315="","",0))</f>
        <v/>
      </c>
      <c r="L315" s="15" t="str">
        <f aca="false">IF(AND(D315="N",F315="不採用"),1,IF(D315="","",0))</f>
        <v/>
      </c>
      <c r="M315" s="15" t="str">
        <f aca="false">IF(AND(D315="Y",F315="採用"),1,IF(D315="","",0))</f>
        <v/>
      </c>
    </row>
    <row r="316" customFormat="false" ht="15" hidden="false" customHeight="fals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5" t="str">
        <f aca="false">IF(AND(D316="Y",F316="不採用"),1,IF(D316="","",0))</f>
        <v/>
      </c>
      <c r="L316" s="15" t="str">
        <f aca="false">IF(AND(D316="N",F316="不採用"),1,IF(D316="","",0))</f>
        <v/>
      </c>
      <c r="M316" s="15" t="str">
        <f aca="false">IF(AND(D316="Y",F316="採用"),1,IF(D316="","",0))</f>
        <v/>
      </c>
    </row>
    <row r="317" customFormat="false" ht="15" hidden="false" customHeight="fals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5" t="str">
        <f aca="false">IF(AND(D317="Y",F317="不採用"),1,IF(D317="","",0))</f>
        <v/>
      </c>
      <c r="L317" s="15" t="str">
        <f aca="false">IF(AND(D317="N",F317="不採用"),1,IF(D317="","",0))</f>
        <v/>
      </c>
      <c r="M317" s="15" t="str">
        <f aca="false">IF(AND(D317="Y",F317="採用"),1,IF(D317="","",0))</f>
        <v/>
      </c>
    </row>
    <row r="318" customFormat="false" ht="15" hidden="false" customHeight="fals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5" t="str">
        <f aca="false">IF(AND(D318="Y",F318="不採用"),1,IF(D318="","",0))</f>
        <v/>
      </c>
      <c r="L318" s="15" t="str">
        <f aca="false">IF(AND(D318="N",F318="不採用"),1,IF(D318="","",0))</f>
        <v/>
      </c>
      <c r="M318" s="15" t="str">
        <f aca="false">IF(AND(D318="Y",F318="採用"),1,IF(D318="","",0))</f>
        <v/>
      </c>
    </row>
    <row r="319" customFormat="false" ht="15" hidden="false" customHeight="fals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5" t="str">
        <f aca="false">IF(AND(D319="Y",F319="不採用"),1,IF(D319="","",0))</f>
        <v/>
      </c>
      <c r="L319" s="15" t="str">
        <f aca="false">IF(AND(D319="N",F319="不採用"),1,IF(D319="","",0))</f>
        <v/>
      </c>
      <c r="M319" s="15" t="str">
        <f aca="false">IF(AND(D319="Y",F319="採用"),1,IF(D319="","",0))</f>
        <v/>
      </c>
    </row>
    <row r="320" customFormat="false" ht="15" hidden="false" customHeight="fals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5" t="str">
        <f aca="false">IF(AND(D320="Y",F320="不採用"),1,IF(D320="","",0))</f>
        <v/>
      </c>
      <c r="L320" s="15" t="str">
        <f aca="false">IF(AND(D320="N",F320="不採用"),1,IF(D320="","",0))</f>
        <v/>
      </c>
      <c r="M320" s="15" t="str">
        <f aca="false">IF(AND(D320="Y",F320="採用"),1,IF(D320="","",0))</f>
        <v/>
      </c>
    </row>
    <row r="321" customFormat="false" ht="15" hidden="false" customHeight="fals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5" t="str">
        <f aca="false">IF(AND(D321="Y",F321="不採用"),1,IF(D321="","",0))</f>
        <v/>
      </c>
      <c r="L321" s="15" t="str">
        <f aca="false">IF(AND(D321="N",F321="不採用"),1,IF(D321="","",0))</f>
        <v/>
      </c>
      <c r="M321" s="15" t="str">
        <f aca="false">IF(AND(D321="Y",F321="採用"),1,IF(D321="","",0))</f>
        <v/>
      </c>
    </row>
    <row r="322" customFormat="false" ht="15" hidden="false" customHeight="fals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5" t="str">
        <f aca="false">IF(AND(D322="Y",F322="不採用"),1,IF(D322="","",0))</f>
        <v/>
      </c>
      <c r="L322" s="15" t="str">
        <f aca="false">IF(AND(D322="N",F322="不採用"),1,IF(D322="","",0))</f>
        <v/>
      </c>
      <c r="M322" s="15" t="str">
        <f aca="false">IF(AND(D322="Y",F322="採用"),1,IF(D322="","",0))</f>
        <v/>
      </c>
    </row>
    <row r="323" customFormat="false" ht="15" hidden="false" customHeight="fals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5" t="str">
        <f aca="false">IF(AND(D323="Y",F323="不採用"),1,IF(D323="","",0))</f>
        <v/>
      </c>
      <c r="L323" s="15" t="str">
        <f aca="false">IF(AND(D323="N",F323="不採用"),1,IF(D323="","",0))</f>
        <v/>
      </c>
      <c r="M323" s="15" t="str">
        <f aca="false">IF(AND(D323="Y",F323="採用"),1,IF(D323="","",0))</f>
        <v/>
      </c>
    </row>
    <row r="324" customFormat="false" ht="15" hidden="false" customHeight="fals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5" t="str">
        <f aca="false">IF(AND(D324="Y",F324="不採用"),1,IF(D324="","",0))</f>
        <v/>
      </c>
      <c r="L324" s="15" t="str">
        <f aca="false">IF(AND(D324="N",F324="不採用"),1,IF(D324="","",0))</f>
        <v/>
      </c>
      <c r="M324" s="15" t="str">
        <f aca="false">IF(AND(D324="Y",F324="採用"),1,IF(D324="","",0))</f>
        <v/>
      </c>
    </row>
    <row r="325" customFormat="false" ht="15" hidden="false" customHeight="fals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5" t="str">
        <f aca="false">IF(AND(D325="Y",F325="不採用"),1,IF(D325="","",0))</f>
        <v/>
      </c>
      <c r="L325" s="15" t="str">
        <f aca="false">IF(AND(D325="N",F325="不採用"),1,IF(D325="","",0))</f>
        <v/>
      </c>
      <c r="M325" s="15" t="str">
        <f aca="false">IF(AND(D325="Y",F325="採用"),1,IF(D325="","",0))</f>
        <v/>
      </c>
    </row>
    <row r="326" customFormat="false" ht="15" hidden="false" customHeight="fals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5" t="str">
        <f aca="false">IF(AND(D326="Y",F326="不採用"),1,IF(D326="","",0))</f>
        <v/>
      </c>
      <c r="L326" s="15" t="str">
        <f aca="false">IF(AND(D326="N",F326="不採用"),1,IF(D326="","",0))</f>
        <v/>
      </c>
      <c r="M326" s="15" t="str">
        <f aca="false">IF(AND(D326="Y",F326="採用"),1,IF(D326="","",0))</f>
        <v/>
      </c>
    </row>
    <row r="327" customFormat="false" ht="15" hidden="false" customHeight="fals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5" t="str">
        <f aca="false">IF(AND(D327="Y",F327="不採用"),1,IF(D327="","",0))</f>
        <v/>
      </c>
      <c r="L327" s="15" t="str">
        <f aca="false">IF(AND(D327="N",F327="不採用"),1,IF(D327="","",0))</f>
        <v/>
      </c>
      <c r="M327" s="15" t="str">
        <f aca="false">IF(AND(D327="Y",F327="採用"),1,IF(D327="","",0))</f>
        <v/>
      </c>
    </row>
    <row r="328" customFormat="false" ht="15" hidden="false" customHeight="fals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5" t="str">
        <f aca="false">IF(AND(D328="Y",F328="不採用"),1,IF(D328="","",0))</f>
        <v/>
      </c>
      <c r="L328" s="15" t="str">
        <f aca="false">IF(AND(D328="N",F328="不採用"),1,IF(D328="","",0))</f>
        <v/>
      </c>
      <c r="M328" s="15" t="str">
        <f aca="false">IF(AND(D328="Y",F328="採用"),1,IF(D328="","",0))</f>
        <v/>
      </c>
    </row>
    <row r="329" customFormat="false" ht="15" hidden="false" customHeight="fals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5" t="str">
        <f aca="false">IF(AND(D329="Y",F329="不採用"),1,IF(D329="","",0))</f>
        <v/>
      </c>
      <c r="L329" s="15" t="str">
        <f aca="false">IF(AND(D329="N",F329="不採用"),1,IF(D329="","",0))</f>
        <v/>
      </c>
      <c r="M329" s="15" t="str">
        <f aca="false">IF(AND(D329="Y",F329="採用"),1,IF(D329="","",0))</f>
        <v/>
      </c>
    </row>
    <row r="330" customFormat="false" ht="15" hidden="false" customHeight="fals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5" t="str">
        <f aca="false">IF(AND(D330="Y",F330="不採用"),1,IF(D330="","",0))</f>
        <v/>
      </c>
      <c r="L330" s="15" t="str">
        <f aca="false">IF(AND(D330="N",F330="不採用"),1,IF(D330="","",0))</f>
        <v/>
      </c>
      <c r="M330" s="15" t="str">
        <f aca="false">IF(AND(D330="Y",F330="採用"),1,IF(D330="","",0))</f>
        <v/>
      </c>
    </row>
    <row r="331" customFormat="false" ht="15" hidden="false" customHeight="fals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5" t="str">
        <f aca="false">IF(AND(D331="Y",F331="不採用"),1,IF(D331="","",0))</f>
        <v/>
      </c>
      <c r="L331" s="15" t="str">
        <f aca="false">IF(AND(D331="N",F331="不採用"),1,IF(D331="","",0))</f>
        <v/>
      </c>
      <c r="M331" s="15" t="str">
        <f aca="false">IF(AND(D331="Y",F331="採用"),1,IF(D331="","",0))</f>
        <v/>
      </c>
    </row>
    <row r="332" customFormat="false" ht="15" hidden="false" customHeight="fals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5" t="str">
        <f aca="false">IF(AND(D332="Y",F332="不採用"),1,IF(D332="","",0))</f>
        <v/>
      </c>
      <c r="L332" s="15" t="str">
        <f aca="false">IF(AND(D332="N",F332="不採用"),1,IF(D332="","",0))</f>
        <v/>
      </c>
      <c r="M332" s="15" t="str">
        <f aca="false">IF(AND(D332="Y",F332="採用"),1,IF(D332="","",0))</f>
        <v/>
      </c>
    </row>
    <row r="333" customFormat="false" ht="15" hidden="false" customHeight="fals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5" t="str">
        <f aca="false">IF(AND(D333="Y",F333="不採用"),1,IF(D333="","",0))</f>
        <v/>
      </c>
      <c r="L333" s="15" t="str">
        <f aca="false">IF(AND(D333="N",F333="不採用"),1,IF(D333="","",0))</f>
        <v/>
      </c>
      <c r="M333" s="15" t="str">
        <f aca="false">IF(AND(D333="Y",F333="採用"),1,IF(D333="","",0))</f>
        <v/>
      </c>
    </row>
    <row r="334" customFormat="false" ht="15" hidden="false" customHeight="fals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5" t="str">
        <f aca="false">IF(AND(D334="Y",F334="不採用"),1,IF(D334="","",0))</f>
        <v/>
      </c>
      <c r="L334" s="15" t="str">
        <f aca="false">IF(AND(D334="N",F334="不採用"),1,IF(D334="","",0))</f>
        <v/>
      </c>
      <c r="M334" s="15" t="str">
        <f aca="false">IF(AND(D334="Y",F334="採用"),1,IF(D334="","",0))</f>
        <v/>
      </c>
    </row>
    <row r="335" customFormat="false" ht="15" hidden="false" customHeight="fals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5" t="str">
        <f aca="false">IF(AND(D335="Y",F335="不採用"),1,IF(D335="","",0))</f>
        <v/>
      </c>
      <c r="L335" s="15" t="str">
        <f aca="false">IF(AND(D335="N",F335="不採用"),1,IF(D335="","",0))</f>
        <v/>
      </c>
      <c r="M335" s="15" t="str">
        <f aca="false">IF(AND(D335="Y",F335="採用"),1,IF(D335="","",0))</f>
        <v/>
      </c>
    </row>
    <row r="336" customFormat="false" ht="15" hidden="false" customHeight="fals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5" t="str">
        <f aca="false">IF(AND(D336="Y",F336="不採用"),1,IF(D336="","",0))</f>
        <v/>
      </c>
      <c r="L336" s="15" t="str">
        <f aca="false">IF(AND(D336="N",F336="不採用"),1,IF(D336="","",0))</f>
        <v/>
      </c>
      <c r="M336" s="15" t="str">
        <f aca="false">IF(AND(D336="Y",F336="採用"),1,IF(D336="","",0))</f>
        <v/>
      </c>
    </row>
    <row r="337" customFormat="false" ht="15" hidden="false" customHeight="fals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5" t="str">
        <f aca="false">IF(AND(D337="Y",F337="不採用"),1,IF(D337="","",0))</f>
        <v/>
      </c>
      <c r="L337" s="15" t="str">
        <f aca="false">IF(AND(D337="N",F337="不採用"),1,IF(D337="","",0))</f>
        <v/>
      </c>
      <c r="M337" s="15" t="str">
        <f aca="false">IF(AND(D337="Y",F337="採用"),1,IF(D337="","",0))</f>
        <v/>
      </c>
    </row>
    <row r="338" customFormat="false" ht="15" hidden="false" customHeight="fals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5" t="str">
        <f aca="false">IF(AND(D338="Y",F338="不採用"),1,IF(D338="","",0))</f>
        <v/>
      </c>
      <c r="L338" s="15" t="str">
        <f aca="false">IF(AND(D338="N",F338="不採用"),1,IF(D338="","",0))</f>
        <v/>
      </c>
      <c r="M338" s="15" t="str">
        <f aca="false">IF(AND(D338="Y",F338="採用"),1,IF(D338="","",0))</f>
        <v/>
      </c>
    </row>
    <row r="339" customFormat="false" ht="15" hidden="false" customHeight="fals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5" t="str">
        <f aca="false">IF(AND(D339="Y",F339="不採用"),1,IF(D339="","",0))</f>
        <v/>
      </c>
      <c r="L339" s="15" t="str">
        <f aca="false">IF(AND(D339="N",F339="不採用"),1,IF(D339="","",0))</f>
        <v/>
      </c>
      <c r="M339" s="15" t="str">
        <f aca="false">IF(AND(D339="Y",F339="採用"),1,IF(D339="","",0))</f>
        <v/>
      </c>
    </row>
    <row r="340" customFormat="false" ht="15" hidden="false" customHeight="fals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5" t="str">
        <f aca="false">IF(AND(D340="Y",F340="不採用"),1,IF(D340="","",0))</f>
        <v/>
      </c>
      <c r="L340" s="15" t="str">
        <f aca="false">IF(AND(D340="N",F340="不採用"),1,IF(D340="","",0))</f>
        <v/>
      </c>
      <c r="M340" s="15" t="str">
        <f aca="false">IF(AND(D340="Y",F340="採用"),1,IF(D340="","",0))</f>
        <v/>
      </c>
    </row>
    <row r="341" customFormat="false" ht="15" hidden="false" customHeight="fals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5" t="str">
        <f aca="false">IF(AND(D341="Y",F341="不採用"),1,IF(D341="","",0))</f>
        <v/>
      </c>
      <c r="L341" s="15" t="str">
        <f aca="false">IF(AND(D341="N",F341="不採用"),1,IF(D341="","",0))</f>
        <v/>
      </c>
      <c r="M341" s="15" t="str">
        <f aca="false">IF(AND(D341="Y",F341="採用"),1,IF(D341="","",0))</f>
        <v/>
      </c>
    </row>
    <row r="342" customFormat="false" ht="15" hidden="false" customHeight="fals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5" t="str">
        <f aca="false">IF(AND(D342="Y",F342="不採用"),1,IF(D342="","",0))</f>
        <v/>
      </c>
      <c r="L342" s="15" t="str">
        <f aca="false">IF(AND(D342="N",F342="不採用"),1,IF(D342="","",0))</f>
        <v/>
      </c>
      <c r="M342" s="15" t="str">
        <f aca="false">IF(AND(D342="Y",F342="採用"),1,IF(D342="","",0))</f>
        <v/>
      </c>
    </row>
    <row r="343" customFormat="false" ht="15" hidden="false" customHeight="fals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5" t="str">
        <f aca="false">IF(AND(D343="Y",F343="不採用"),1,IF(D343="","",0))</f>
        <v/>
      </c>
      <c r="L343" s="15" t="str">
        <f aca="false">IF(AND(D343="N",F343="不採用"),1,IF(D343="","",0))</f>
        <v/>
      </c>
      <c r="M343" s="15" t="str">
        <f aca="false">IF(AND(D343="Y",F343="採用"),1,IF(D343="","",0))</f>
        <v/>
      </c>
    </row>
    <row r="344" customFormat="false" ht="15" hidden="false" customHeight="fals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5" t="str">
        <f aca="false">IF(AND(D344="Y",F344="不採用"),1,IF(D344="","",0))</f>
        <v/>
      </c>
      <c r="L344" s="15" t="str">
        <f aca="false">IF(AND(D344="N",F344="不採用"),1,IF(D344="","",0))</f>
        <v/>
      </c>
      <c r="M344" s="15" t="str">
        <f aca="false">IF(AND(D344="Y",F344="採用"),1,IF(D344="","",0))</f>
        <v/>
      </c>
    </row>
    <row r="345" customFormat="false" ht="15" hidden="false" customHeight="fals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5" t="str">
        <f aca="false">IF(AND(D345="Y",F345="不採用"),1,IF(D345="","",0))</f>
        <v/>
      </c>
      <c r="L345" s="15" t="str">
        <f aca="false">IF(AND(D345="N",F345="不採用"),1,IF(D345="","",0))</f>
        <v/>
      </c>
      <c r="M345" s="15" t="str">
        <f aca="false">IF(AND(D345="Y",F345="採用"),1,IF(D345="","",0))</f>
        <v/>
      </c>
    </row>
    <row r="346" customFormat="false" ht="15" hidden="false" customHeight="fals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5" t="str">
        <f aca="false">IF(AND(D346="Y",F346="不採用"),1,IF(D346="","",0))</f>
        <v/>
      </c>
      <c r="L346" s="15" t="str">
        <f aca="false">IF(AND(D346="N",F346="不採用"),1,IF(D346="","",0))</f>
        <v/>
      </c>
      <c r="M346" s="15" t="str">
        <f aca="false">IF(AND(D346="Y",F346="採用"),1,IF(D346="","",0))</f>
        <v/>
      </c>
    </row>
    <row r="347" customFormat="false" ht="15" hidden="false" customHeight="fals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5" t="str">
        <f aca="false">IF(AND(D347="Y",F347="不採用"),1,IF(D347="","",0))</f>
        <v/>
      </c>
      <c r="L347" s="15" t="str">
        <f aca="false">IF(AND(D347="N",F347="不採用"),1,IF(D347="","",0))</f>
        <v/>
      </c>
      <c r="M347" s="15" t="str">
        <f aca="false">IF(AND(D347="Y",F347="採用"),1,IF(D347="","",0))</f>
        <v/>
      </c>
    </row>
    <row r="348" customFormat="false" ht="15" hidden="false" customHeight="fals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5" t="str">
        <f aca="false">IF(AND(D348="Y",F348="不採用"),1,IF(D348="","",0))</f>
        <v/>
      </c>
      <c r="L348" s="15" t="str">
        <f aca="false">IF(AND(D348="N",F348="不採用"),1,IF(D348="","",0))</f>
        <v/>
      </c>
      <c r="M348" s="15" t="str">
        <f aca="false">IF(AND(D348="Y",F348="採用"),1,IF(D348="","",0))</f>
        <v/>
      </c>
    </row>
    <row r="349" customFormat="false" ht="15" hidden="false" customHeight="fals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5" t="str">
        <f aca="false">IF(AND(D349="Y",F349="不採用"),1,IF(D349="","",0))</f>
        <v/>
      </c>
      <c r="L349" s="15" t="str">
        <f aca="false">IF(AND(D349="N",F349="不採用"),1,IF(D349="","",0))</f>
        <v/>
      </c>
      <c r="M349" s="15" t="str">
        <f aca="false">IF(AND(D349="Y",F349="採用"),1,IF(D349="","",0))</f>
        <v/>
      </c>
    </row>
    <row r="350" customFormat="false" ht="15" hidden="false" customHeight="fals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5" t="str">
        <f aca="false">IF(AND(D350="Y",F350="不採用"),1,IF(D350="","",0))</f>
        <v/>
      </c>
      <c r="L350" s="15" t="str">
        <f aca="false">IF(AND(D350="N",F350="不採用"),1,IF(D350="","",0))</f>
        <v/>
      </c>
      <c r="M350" s="15" t="str">
        <f aca="false">IF(AND(D350="Y",F350="採用"),1,IF(D350="","",0))</f>
        <v/>
      </c>
    </row>
    <row r="351" customFormat="false" ht="15" hidden="false" customHeight="fals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5" t="str">
        <f aca="false">IF(AND(D351="Y",F351="不採用"),1,IF(D351="","",0))</f>
        <v/>
      </c>
      <c r="L351" s="15" t="str">
        <f aca="false">IF(AND(D351="N",F351="不採用"),1,IF(D351="","",0))</f>
        <v/>
      </c>
      <c r="M351" s="15" t="str">
        <f aca="false">IF(AND(D351="Y",F351="採用"),1,IF(D351="","",0))</f>
        <v/>
      </c>
    </row>
    <row r="352" customFormat="false" ht="15" hidden="false" customHeight="fals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5" t="str">
        <f aca="false">IF(AND(D352="Y",F352="不採用"),1,IF(D352="","",0))</f>
        <v/>
      </c>
      <c r="L352" s="15" t="str">
        <f aca="false">IF(AND(D352="N",F352="不採用"),1,IF(D352="","",0))</f>
        <v/>
      </c>
      <c r="M352" s="15" t="str">
        <f aca="false">IF(AND(D352="Y",F352="採用"),1,IF(D352="","",0))</f>
        <v/>
      </c>
    </row>
    <row r="353" customFormat="false" ht="15" hidden="false" customHeight="fals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5" t="str">
        <f aca="false">IF(AND(D353="Y",F353="不採用"),1,IF(D353="","",0))</f>
        <v/>
      </c>
      <c r="L353" s="15" t="str">
        <f aca="false">IF(AND(D353="N",F353="不採用"),1,IF(D353="","",0))</f>
        <v/>
      </c>
      <c r="M353" s="15" t="str">
        <f aca="false">IF(AND(D353="Y",F353="採用"),1,IF(D353="","",0))</f>
        <v/>
      </c>
    </row>
    <row r="354" customFormat="false" ht="15" hidden="false" customHeight="fals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5" t="str">
        <f aca="false">IF(AND(D354="Y",F354="不採用"),1,IF(D354="","",0))</f>
        <v/>
      </c>
      <c r="L354" s="15" t="str">
        <f aca="false">IF(AND(D354="N",F354="不採用"),1,IF(D354="","",0))</f>
        <v/>
      </c>
      <c r="M354" s="15" t="str">
        <f aca="false">IF(AND(D354="Y",F354="採用"),1,IF(D354="","",0))</f>
        <v/>
      </c>
    </row>
    <row r="355" customFormat="false" ht="15" hidden="false" customHeight="fals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5" t="str">
        <f aca="false">IF(AND(D355="Y",F355="不採用"),1,IF(D355="","",0))</f>
        <v/>
      </c>
      <c r="L355" s="15" t="str">
        <f aca="false">IF(AND(D355="N",F355="不採用"),1,IF(D355="","",0))</f>
        <v/>
      </c>
      <c r="M355" s="15" t="str">
        <f aca="false">IF(AND(D355="Y",F355="採用"),1,IF(D355="","",0))</f>
        <v/>
      </c>
    </row>
    <row r="356" customFormat="false" ht="15" hidden="false" customHeight="fals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5" t="str">
        <f aca="false">IF(AND(D356="Y",F356="不採用"),1,IF(D356="","",0))</f>
        <v/>
      </c>
      <c r="L356" s="15" t="str">
        <f aca="false">IF(AND(D356="N",F356="不採用"),1,IF(D356="","",0))</f>
        <v/>
      </c>
      <c r="M356" s="15" t="str">
        <f aca="false">IF(AND(D356="Y",F356="採用"),1,IF(D356="","",0))</f>
        <v/>
      </c>
    </row>
    <row r="357" customFormat="false" ht="15" hidden="false" customHeight="fals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5" t="str">
        <f aca="false">IF(AND(D357="Y",F357="不採用"),1,IF(D357="","",0))</f>
        <v/>
      </c>
      <c r="L357" s="15" t="str">
        <f aca="false">IF(AND(D357="N",F357="不採用"),1,IF(D357="","",0))</f>
        <v/>
      </c>
      <c r="M357" s="15" t="str">
        <f aca="false">IF(AND(D357="Y",F357="採用"),1,IF(D357="","",0))</f>
        <v/>
      </c>
    </row>
    <row r="358" customFormat="false" ht="15" hidden="false" customHeight="fals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5" t="str">
        <f aca="false">IF(AND(D358="Y",F358="不採用"),1,IF(D358="","",0))</f>
        <v/>
      </c>
      <c r="L358" s="15" t="str">
        <f aca="false">IF(AND(D358="N",F358="不採用"),1,IF(D358="","",0))</f>
        <v/>
      </c>
      <c r="M358" s="15" t="str">
        <f aca="false">IF(AND(D358="Y",F358="採用"),1,IF(D358="","",0))</f>
        <v/>
      </c>
    </row>
    <row r="359" customFormat="false" ht="15" hidden="false" customHeight="fals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5" t="str">
        <f aca="false">IF(AND(D359="Y",F359="不採用"),1,IF(D359="","",0))</f>
        <v/>
      </c>
      <c r="L359" s="15" t="str">
        <f aca="false">IF(AND(D359="N",F359="不採用"),1,IF(D359="","",0))</f>
        <v/>
      </c>
      <c r="M359" s="15" t="str">
        <f aca="false">IF(AND(D359="Y",F359="採用"),1,IF(D359="","",0))</f>
        <v/>
      </c>
    </row>
    <row r="360" customFormat="false" ht="15" hidden="false" customHeight="fals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5" t="str">
        <f aca="false">IF(AND(D360="Y",F360="不採用"),1,IF(D360="","",0))</f>
        <v/>
      </c>
      <c r="L360" s="15" t="str">
        <f aca="false">IF(AND(D360="N",F360="不採用"),1,IF(D360="","",0))</f>
        <v/>
      </c>
      <c r="M360" s="15" t="str">
        <f aca="false">IF(AND(D360="Y",F360="採用"),1,IF(D360="","",0))</f>
        <v/>
      </c>
    </row>
    <row r="361" customFormat="false" ht="15" hidden="false" customHeight="fals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5" t="str">
        <f aca="false">IF(AND(D361="Y",F361="不採用"),1,IF(D361="","",0))</f>
        <v/>
      </c>
      <c r="L361" s="15" t="str">
        <f aca="false">IF(AND(D361="N",F361="不採用"),1,IF(D361="","",0))</f>
        <v/>
      </c>
      <c r="M361" s="15" t="str">
        <f aca="false">IF(AND(D361="Y",F361="採用"),1,IF(D361="","",0))</f>
        <v/>
      </c>
    </row>
    <row r="362" customFormat="false" ht="15" hidden="false" customHeight="fals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5" t="str">
        <f aca="false">IF(AND(D362="Y",F362="不採用"),1,IF(D362="","",0))</f>
        <v/>
      </c>
      <c r="L362" s="15" t="str">
        <f aca="false">IF(AND(D362="N",F362="不採用"),1,IF(D362="","",0))</f>
        <v/>
      </c>
      <c r="M362" s="15" t="str">
        <f aca="false">IF(AND(D362="Y",F362="採用"),1,IF(D362="","",0))</f>
        <v/>
      </c>
    </row>
    <row r="363" customFormat="false" ht="15" hidden="false" customHeight="fals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5" t="str">
        <f aca="false">IF(AND(D363="Y",F363="不採用"),1,IF(D363="","",0))</f>
        <v/>
      </c>
      <c r="L363" s="15" t="str">
        <f aca="false">IF(AND(D363="N",F363="不採用"),1,IF(D363="","",0))</f>
        <v/>
      </c>
      <c r="M363" s="15" t="str">
        <f aca="false">IF(AND(D363="Y",F363="採用"),1,IF(D363="","",0))</f>
        <v/>
      </c>
    </row>
    <row r="364" customFormat="false" ht="15" hidden="false" customHeight="fals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5" t="str">
        <f aca="false">IF(AND(D364="Y",F364="不採用"),1,IF(D364="","",0))</f>
        <v/>
      </c>
      <c r="L364" s="15" t="str">
        <f aca="false">IF(AND(D364="N",F364="不採用"),1,IF(D364="","",0))</f>
        <v/>
      </c>
      <c r="M364" s="15" t="str">
        <f aca="false">IF(AND(D364="Y",F364="採用"),1,IF(D364="","",0))</f>
        <v/>
      </c>
    </row>
    <row r="365" customFormat="false" ht="15" hidden="false" customHeight="fals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5" t="str">
        <f aca="false">IF(AND(D365="Y",F365="不採用"),1,IF(D365="","",0))</f>
        <v/>
      </c>
      <c r="L365" s="15" t="str">
        <f aca="false">IF(AND(D365="N",F365="不採用"),1,IF(D365="","",0))</f>
        <v/>
      </c>
      <c r="M365" s="15" t="str">
        <f aca="false">IF(AND(D365="Y",F365="採用"),1,IF(D365="","",0))</f>
        <v/>
      </c>
    </row>
    <row r="366" customFormat="false" ht="15" hidden="false" customHeight="fals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5" t="str">
        <f aca="false">IF(AND(D366="Y",F366="不採用"),1,IF(D366="","",0))</f>
        <v/>
      </c>
      <c r="L366" s="15" t="str">
        <f aca="false">IF(AND(D366="N",F366="不採用"),1,IF(D366="","",0))</f>
        <v/>
      </c>
      <c r="M366" s="15" t="str">
        <f aca="false">IF(AND(D366="Y",F366="採用"),1,IF(D366="","",0))</f>
        <v/>
      </c>
    </row>
    <row r="367" customFormat="false" ht="15" hidden="false" customHeight="fals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5" t="str">
        <f aca="false">IF(AND(D367="Y",F367="不採用"),1,IF(D367="","",0))</f>
        <v/>
      </c>
      <c r="L367" s="15" t="str">
        <f aca="false">IF(AND(D367="N",F367="不採用"),1,IF(D367="","",0))</f>
        <v/>
      </c>
      <c r="M367" s="15" t="str">
        <f aca="false">IF(AND(D367="Y",F367="採用"),1,IF(D367="","",0))</f>
        <v/>
      </c>
    </row>
    <row r="368" customFormat="false" ht="15" hidden="false" customHeight="fals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5" t="str">
        <f aca="false">IF(AND(D368="Y",F368="不採用"),1,IF(D368="","",0))</f>
        <v/>
      </c>
      <c r="L368" s="15" t="str">
        <f aca="false">IF(AND(D368="N",F368="不採用"),1,IF(D368="","",0))</f>
        <v/>
      </c>
      <c r="M368" s="15" t="str">
        <f aca="false">IF(AND(D368="Y",F368="採用"),1,IF(D368="","",0))</f>
        <v/>
      </c>
    </row>
    <row r="369" customFormat="false" ht="15" hidden="false" customHeight="fals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5" t="str">
        <f aca="false">IF(AND(D369="Y",F369="不採用"),1,IF(D369="","",0))</f>
        <v/>
      </c>
      <c r="L369" s="15" t="str">
        <f aca="false">IF(AND(D369="N",F369="不採用"),1,IF(D369="","",0))</f>
        <v/>
      </c>
      <c r="M369" s="15" t="str">
        <f aca="false">IF(AND(D369="Y",F369="採用"),1,IF(D369="","",0))</f>
        <v/>
      </c>
    </row>
    <row r="370" customFormat="false" ht="15" hidden="false" customHeight="fals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5" t="str">
        <f aca="false">IF(AND(D370="Y",F370="不採用"),1,IF(D370="","",0))</f>
        <v/>
      </c>
      <c r="L370" s="15" t="str">
        <f aca="false">IF(AND(D370="N",F370="不採用"),1,IF(D370="","",0))</f>
        <v/>
      </c>
      <c r="M370" s="15" t="str">
        <f aca="false">IF(AND(D370="Y",F370="採用"),1,IF(D370="","",0))</f>
        <v/>
      </c>
    </row>
    <row r="371" customFormat="false" ht="15" hidden="false" customHeight="fals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5" t="str">
        <f aca="false">IF(AND(D371="Y",F371="不採用"),1,IF(D371="","",0))</f>
        <v/>
      </c>
      <c r="L371" s="15" t="str">
        <f aca="false">IF(AND(D371="N",F371="不採用"),1,IF(D371="","",0))</f>
        <v/>
      </c>
      <c r="M371" s="15" t="str">
        <f aca="false">IF(AND(D371="Y",F371="採用"),1,IF(D371="","",0))</f>
        <v/>
      </c>
    </row>
    <row r="372" customFormat="false" ht="15" hidden="false" customHeight="fals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5" t="str">
        <f aca="false">IF(AND(D372="Y",F372="不採用"),1,IF(D372="","",0))</f>
        <v/>
      </c>
      <c r="L372" s="15" t="str">
        <f aca="false">IF(AND(D372="N",F372="不採用"),1,IF(D372="","",0))</f>
        <v/>
      </c>
      <c r="M372" s="15" t="str">
        <f aca="false">IF(AND(D372="Y",F372="採用"),1,IF(D372="","",0))</f>
        <v/>
      </c>
    </row>
    <row r="373" customFormat="false" ht="15" hidden="false" customHeight="fals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5" t="str">
        <f aca="false">IF(AND(D373="Y",F373="不採用"),1,IF(D373="","",0))</f>
        <v/>
      </c>
      <c r="L373" s="15" t="str">
        <f aca="false">IF(AND(D373="N",F373="不採用"),1,IF(D373="","",0))</f>
        <v/>
      </c>
      <c r="M373" s="15" t="str">
        <f aca="false">IF(AND(D373="Y",F373="採用"),1,IF(D373="","",0))</f>
        <v/>
      </c>
    </row>
    <row r="374" customFormat="false" ht="15" hidden="false" customHeight="fals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5" t="str">
        <f aca="false">IF(AND(D374="Y",F374="不採用"),1,IF(D374="","",0))</f>
        <v/>
      </c>
      <c r="L374" s="15" t="str">
        <f aca="false">IF(AND(D374="N",F374="不採用"),1,IF(D374="","",0))</f>
        <v/>
      </c>
      <c r="M374" s="15" t="str">
        <f aca="false">IF(AND(D374="Y",F374="採用"),1,IF(D374="","",0))</f>
        <v/>
      </c>
    </row>
    <row r="375" customFormat="false" ht="15" hidden="false" customHeight="fals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5" t="str">
        <f aca="false">IF(AND(D375="Y",F375="不採用"),1,IF(D375="","",0))</f>
        <v/>
      </c>
      <c r="L375" s="15" t="str">
        <f aca="false">IF(AND(D375="N",F375="不採用"),1,IF(D375="","",0))</f>
        <v/>
      </c>
      <c r="M375" s="15" t="str">
        <f aca="false">IF(AND(D375="Y",F375="採用"),1,IF(D375="","",0))</f>
        <v/>
      </c>
    </row>
    <row r="376" customFormat="false" ht="15" hidden="false" customHeight="fals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5" t="str">
        <f aca="false">IF(AND(D376="Y",F376="不採用"),1,IF(D376="","",0))</f>
        <v/>
      </c>
      <c r="L376" s="15" t="str">
        <f aca="false">IF(AND(D376="N",F376="不採用"),1,IF(D376="","",0))</f>
        <v/>
      </c>
      <c r="M376" s="15" t="str">
        <f aca="false">IF(AND(D376="Y",F376="採用"),1,IF(D376="","",0))</f>
        <v/>
      </c>
    </row>
    <row r="377" customFormat="false" ht="15" hidden="false" customHeight="fals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5" t="str">
        <f aca="false">IF(AND(D377="Y",F377="不採用"),1,IF(D377="","",0))</f>
        <v/>
      </c>
      <c r="L377" s="15" t="str">
        <f aca="false">IF(AND(D377="N",F377="不採用"),1,IF(D377="","",0))</f>
        <v/>
      </c>
      <c r="M377" s="15" t="str">
        <f aca="false">IF(AND(D377="Y",F377="採用"),1,IF(D377="","",0))</f>
        <v/>
      </c>
    </row>
    <row r="378" customFormat="false" ht="15" hidden="false" customHeight="fals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5" t="str">
        <f aca="false">IF(AND(D378="Y",F378="不採用"),1,IF(D378="","",0))</f>
        <v/>
      </c>
      <c r="L378" s="15" t="str">
        <f aca="false">IF(AND(D378="N",F378="不採用"),1,IF(D378="","",0))</f>
        <v/>
      </c>
      <c r="M378" s="15" t="str">
        <f aca="false">IF(AND(D378="Y",F378="採用"),1,IF(D378="","",0))</f>
        <v/>
      </c>
    </row>
    <row r="379" customFormat="false" ht="15" hidden="false" customHeight="fals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5" t="str">
        <f aca="false">IF(AND(D379="Y",F379="不採用"),1,IF(D379="","",0))</f>
        <v/>
      </c>
      <c r="L379" s="15" t="str">
        <f aca="false">IF(AND(D379="N",F379="不採用"),1,IF(D379="","",0))</f>
        <v/>
      </c>
      <c r="M379" s="15" t="str">
        <f aca="false">IF(AND(D379="Y",F379="採用"),1,IF(D379="","",0))</f>
        <v/>
      </c>
    </row>
    <row r="380" customFormat="false" ht="15" hidden="false" customHeight="fals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5" t="str">
        <f aca="false">IF(AND(D380="Y",F380="不採用"),1,IF(D380="","",0))</f>
        <v/>
      </c>
      <c r="L380" s="15" t="str">
        <f aca="false">IF(AND(D380="N",F380="不採用"),1,IF(D380="","",0))</f>
        <v/>
      </c>
      <c r="M380" s="15" t="str">
        <f aca="false">IF(AND(D380="Y",F380="採用"),1,IF(D380="","",0))</f>
        <v/>
      </c>
    </row>
    <row r="381" customFormat="false" ht="15" hidden="false" customHeight="fals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5" t="str">
        <f aca="false">IF(AND(D381="Y",F381="不採用"),1,IF(D381="","",0))</f>
        <v/>
      </c>
      <c r="L381" s="15" t="str">
        <f aca="false">IF(AND(D381="N",F381="不採用"),1,IF(D381="","",0))</f>
        <v/>
      </c>
      <c r="M381" s="15" t="str">
        <f aca="false">IF(AND(D381="Y",F381="採用"),1,IF(D381="","",0))</f>
        <v/>
      </c>
    </row>
    <row r="382" customFormat="false" ht="15" hidden="false" customHeight="fals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5" t="str">
        <f aca="false">IF(AND(D382="Y",F382="不採用"),1,IF(D382="","",0))</f>
        <v/>
      </c>
      <c r="L382" s="15" t="str">
        <f aca="false">IF(AND(D382="N",F382="不採用"),1,IF(D382="","",0))</f>
        <v/>
      </c>
      <c r="M382" s="15" t="str">
        <f aca="false">IF(AND(D382="Y",F382="採用"),1,IF(D382="","",0))</f>
        <v/>
      </c>
    </row>
    <row r="383" customFormat="false" ht="15" hidden="false" customHeight="fals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5" t="str">
        <f aca="false">IF(AND(D383="Y",F383="不採用"),1,IF(D383="","",0))</f>
        <v/>
      </c>
      <c r="L383" s="15" t="str">
        <f aca="false">IF(AND(D383="N",F383="不採用"),1,IF(D383="","",0))</f>
        <v/>
      </c>
      <c r="M383" s="15" t="str">
        <f aca="false">IF(AND(D383="Y",F383="採用"),1,IF(D383="","",0))</f>
        <v/>
      </c>
    </row>
    <row r="384" customFormat="false" ht="15" hidden="false" customHeight="fals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5" t="str">
        <f aca="false">IF(AND(D384="Y",F384="不採用"),1,IF(D384="","",0))</f>
        <v/>
      </c>
      <c r="L384" s="15" t="str">
        <f aca="false">IF(AND(D384="N",F384="不採用"),1,IF(D384="","",0))</f>
        <v/>
      </c>
      <c r="M384" s="15" t="str">
        <f aca="false">IF(AND(D384="Y",F384="採用"),1,IF(D384="","",0))</f>
        <v/>
      </c>
    </row>
    <row r="385" customFormat="false" ht="15" hidden="false" customHeight="fals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5" t="str">
        <f aca="false">IF(AND(D385="Y",F385="不採用"),1,IF(D385="","",0))</f>
        <v/>
      </c>
      <c r="L385" s="15" t="str">
        <f aca="false">IF(AND(D385="N",F385="不採用"),1,IF(D385="","",0))</f>
        <v/>
      </c>
      <c r="M385" s="15" t="str">
        <f aca="false">IF(AND(D385="Y",F385="採用"),1,IF(D385="","",0))</f>
        <v/>
      </c>
    </row>
    <row r="386" customFormat="false" ht="15" hidden="false" customHeight="fals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5" t="str">
        <f aca="false">IF(AND(D386="Y",F386="不採用"),1,IF(D386="","",0))</f>
        <v/>
      </c>
      <c r="L386" s="15" t="str">
        <f aca="false">IF(AND(D386="N",F386="不採用"),1,IF(D386="","",0))</f>
        <v/>
      </c>
      <c r="M386" s="15" t="str">
        <f aca="false">IF(AND(D386="Y",F386="採用"),1,IF(D386="","",0))</f>
        <v/>
      </c>
    </row>
    <row r="387" customFormat="false" ht="15" hidden="false" customHeight="fals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5" t="str">
        <f aca="false">IF(AND(D387="Y",F387="不採用"),1,IF(D387="","",0))</f>
        <v/>
      </c>
      <c r="L387" s="15" t="str">
        <f aca="false">IF(AND(D387="N",F387="不採用"),1,IF(D387="","",0))</f>
        <v/>
      </c>
      <c r="M387" s="15" t="str">
        <f aca="false">IF(AND(D387="Y",F387="採用"),1,IF(D387="","",0))</f>
        <v/>
      </c>
    </row>
    <row r="388" customFormat="false" ht="15" hidden="false" customHeight="fals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5" t="str">
        <f aca="false">IF(AND(D388="Y",F388="不採用"),1,IF(D388="","",0))</f>
        <v/>
      </c>
      <c r="L388" s="15" t="str">
        <f aca="false">IF(AND(D388="N",F388="不採用"),1,IF(D388="","",0))</f>
        <v/>
      </c>
      <c r="M388" s="15" t="str">
        <f aca="false">IF(AND(D388="Y",F388="採用"),1,IF(D388="","",0))</f>
        <v/>
      </c>
    </row>
    <row r="389" customFormat="false" ht="15" hidden="false" customHeight="fals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5" t="str">
        <f aca="false">IF(AND(D389="Y",F389="不採用"),1,IF(D389="","",0))</f>
        <v/>
      </c>
      <c r="L389" s="15" t="str">
        <f aca="false">IF(AND(D389="N",F389="不採用"),1,IF(D389="","",0))</f>
        <v/>
      </c>
      <c r="M389" s="15" t="str">
        <f aca="false">IF(AND(D389="Y",F389="採用"),1,IF(D389="","",0))</f>
        <v/>
      </c>
    </row>
    <row r="390" customFormat="false" ht="15" hidden="false" customHeight="fals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5" t="str">
        <f aca="false">IF(AND(D390="Y",F390="不採用"),1,IF(D390="","",0))</f>
        <v/>
      </c>
      <c r="L390" s="15" t="str">
        <f aca="false">IF(AND(D390="N",F390="不採用"),1,IF(D390="","",0))</f>
        <v/>
      </c>
      <c r="M390" s="15" t="str">
        <f aca="false">IF(AND(D390="Y",F390="採用"),1,IF(D390="","",0))</f>
        <v/>
      </c>
    </row>
    <row r="391" customFormat="false" ht="15" hidden="false" customHeight="fals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5" t="str">
        <f aca="false">IF(AND(D391="Y",F391="不採用"),1,IF(D391="","",0))</f>
        <v/>
      </c>
      <c r="L391" s="15" t="str">
        <f aca="false">IF(AND(D391="N",F391="不採用"),1,IF(D391="","",0))</f>
        <v/>
      </c>
      <c r="M391" s="15" t="str">
        <f aca="false">IF(AND(D391="Y",F391="採用"),1,IF(D391="","",0))</f>
        <v/>
      </c>
    </row>
    <row r="392" customFormat="false" ht="15" hidden="false" customHeight="fals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5" t="str">
        <f aca="false">IF(AND(D392="Y",F392="不採用"),1,IF(D392="","",0))</f>
        <v/>
      </c>
      <c r="L392" s="15" t="str">
        <f aca="false">IF(AND(D392="N",F392="不採用"),1,IF(D392="","",0))</f>
        <v/>
      </c>
      <c r="M392" s="15" t="str">
        <f aca="false">IF(AND(D392="Y",F392="採用"),1,IF(D392="","",0))</f>
        <v/>
      </c>
    </row>
    <row r="393" customFormat="false" ht="15" hidden="false" customHeight="fals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5" t="str">
        <f aca="false">IF(AND(D393="Y",F393="不採用"),1,IF(D393="","",0))</f>
        <v/>
      </c>
      <c r="L393" s="15" t="str">
        <f aca="false">IF(AND(D393="N",F393="不採用"),1,IF(D393="","",0))</f>
        <v/>
      </c>
      <c r="M393" s="15" t="str">
        <f aca="false">IF(AND(D393="Y",F393="採用"),1,IF(D393="","",0))</f>
        <v/>
      </c>
    </row>
    <row r="394" customFormat="false" ht="15" hidden="false" customHeight="fals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5" t="str">
        <f aca="false">IF(AND(D394="Y",F394="不採用"),1,IF(D394="","",0))</f>
        <v/>
      </c>
      <c r="L394" s="15" t="str">
        <f aca="false">IF(AND(D394="N",F394="不採用"),1,IF(D394="","",0))</f>
        <v/>
      </c>
      <c r="M394" s="15" t="str">
        <f aca="false">IF(AND(D394="Y",F394="採用"),1,IF(D394="","",0))</f>
        <v/>
      </c>
    </row>
    <row r="395" customFormat="false" ht="15" hidden="false" customHeight="fals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5" t="str">
        <f aca="false">IF(AND(D395="Y",F395="不採用"),1,IF(D395="","",0))</f>
        <v/>
      </c>
      <c r="L395" s="15" t="str">
        <f aca="false">IF(AND(D395="N",F395="不採用"),1,IF(D395="","",0))</f>
        <v/>
      </c>
      <c r="M395" s="15" t="str">
        <f aca="false">IF(AND(D395="Y",F395="採用"),1,IF(D395="","",0))</f>
        <v/>
      </c>
    </row>
    <row r="396" customFormat="false" ht="15" hidden="false" customHeight="fals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5" t="str">
        <f aca="false">IF(AND(D396="Y",F396="不採用"),1,IF(D396="","",0))</f>
        <v/>
      </c>
      <c r="L396" s="15" t="str">
        <f aca="false">IF(AND(D396="N",F396="不採用"),1,IF(D396="","",0))</f>
        <v/>
      </c>
      <c r="M396" s="15" t="str">
        <f aca="false">IF(AND(D396="Y",F396="採用"),1,IF(D396="","",0))</f>
        <v/>
      </c>
    </row>
    <row r="397" customFormat="false" ht="15" hidden="false" customHeight="fals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5" t="str">
        <f aca="false">IF(AND(D397="Y",F397="不採用"),1,IF(D397="","",0))</f>
        <v/>
      </c>
      <c r="L397" s="15" t="str">
        <f aca="false">IF(AND(D397="N",F397="不採用"),1,IF(D397="","",0))</f>
        <v/>
      </c>
      <c r="M397" s="15" t="str">
        <f aca="false">IF(AND(D397="Y",F397="採用"),1,IF(D397="","",0))</f>
        <v/>
      </c>
    </row>
    <row r="398" customFormat="false" ht="15" hidden="false" customHeight="fals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5" t="str">
        <f aca="false">IF(AND(D398="Y",F398="不採用"),1,IF(D398="","",0))</f>
        <v/>
      </c>
      <c r="L398" s="15" t="str">
        <f aca="false">IF(AND(D398="N",F398="不採用"),1,IF(D398="","",0))</f>
        <v/>
      </c>
      <c r="M398" s="15" t="str">
        <f aca="false">IF(AND(D398="Y",F398="採用"),1,IF(D398="","",0))</f>
        <v/>
      </c>
    </row>
    <row r="399" customFormat="false" ht="15" hidden="false" customHeight="fals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5" t="str">
        <f aca="false">IF(AND(D399="Y",F399="不採用"),1,IF(D399="","",0))</f>
        <v/>
      </c>
      <c r="L399" s="15" t="str">
        <f aca="false">IF(AND(D399="N",F399="不採用"),1,IF(D399="","",0))</f>
        <v/>
      </c>
      <c r="M399" s="15" t="str">
        <f aca="false">IF(AND(D399="Y",F399="採用"),1,IF(D399="","",0))</f>
        <v/>
      </c>
    </row>
  </sheetData>
  <dataValidations count="5">
    <dataValidation allowBlank="true" errorStyle="stop" operator="between" showDropDown="false" showErrorMessage="false" showInputMessage="false" sqref="B4:B400" type="list">
      <formula1>"A,B"</formula1>
      <formula2>0</formula2>
    </dataValidation>
    <dataValidation allowBlank="true" errorStyle="stop" operator="between" showDropDown="false" showErrorMessage="false" showInputMessage="false" sqref="D4:D400" type="list">
      <formula1>"Y,N"</formula1>
      <formula2>0</formula2>
    </dataValidation>
    <dataValidation allowBlank="true" errorStyle="stop" operator="between" showDropDown="false" showErrorMessage="false" showInputMessage="false" sqref="E4:E400" type="list">
      <formula1>"a,b,c"</formula1>
      <formula2>0</formula2>
    </dataValidation>
    <dataValidation allowBlank="true" errorStyle="stop" operator="between" showDropDown="false" showErrorMessage="false" showInputMessage="false" sqref="F4:F400" type="list">
      <formula1>"採用,不採用"</formula1>
      <formula2>0</formula2>
    </dataValidation>
    <dataValidation allowBlank="true" errorStyle="stop" operator="between" showDropDown="false" showErrorMessage="false" showInputMessage="false" sqref="I4:I4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5"/>
    <col collapsed="false" customWidth="true" hidden="false" outlineLevel="0" max="8" min="6" style="0" width="10"/>
    <col collapsed="false" customWidth="true" hidden="false" outlineLevel="0" max="10" min="9" style="0" width="8"/>
    <col collapsed="false" customWidth="true" hidden="false" outlineLevel="0" max="11" min="11" style="0" width="12"/>
    <col collapsed="false" customWidth="true" hidden="false" outlineLevel="0" max="14" min="12" style="0" width="8"/>
    <col collapsed="false" customWidth="true" hidden="false" outlineLevel="0" max="15" min="15" style="0" width="12"/>
    <col collapsed="false" customWidth="true" hidden="false" outlineLevel="0" max="16" min="16" style="0" width="22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24"/>
  </cols>
  <sheetData>
    <row r="1" customFormat="false" ht="20.1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3" customFormat="false" ht="30" hidden="false" customHeight="true" outlineLevel="0" collapsed="false">
      <c r="A3" s="8" t="s">
        <v>161</v>
      </c>
      <c r="B3" s="8" t="s">
        <v>162</v>
      </c>
      <c r="C3" s="8" t="s">
        <v>163</v>
      </c>
      <c r="D3" s="8" t="s">
        <v>164</v>
      </c>
      <c r="E3" s="9" t="s">
        <v>165</v>
      </c>
      <c r="F3" s="8" t="s">
        <v>74</v>
      </c>
      <c r="G3" s="8" t="s">
        <v>75</v>
      </c>
      <c r="H3" s="8" t="s">
        <v>166</v>
      </c>
      <c r="I3" s="8" t="s">
        <v>167</v>
      </c>
      <c r="J3" s="8" t="s">
        <v>168</v>
      </c>
      <c r="K3" s="8" t="s">
        <v>169</v>
      </c>
      <c r="L3" s="8" t="s">
        <v>170</v>
      </c>
      <c r="M3" s="8" t="s">
        <v>171</v>
      </c>
      <c r="N3" s="9" t="s">
        <v>172</v>
      </c>
      <c r="O3" s="9" t="s">
        <v>173</v>
      </c>
      <c r="P3" s="9" t="s">
        <v>174</v>
      </c>
      <c r="Q3" s="8" t="s">
        <v>175</v>
      </c>
      <c r="R3" s="8" t="s">
        <v>176</v>
      </c>
      <c r="S3" s="8" t="s">
        <v>60</v>
      </c>
    </row>
    <row r="4" customFormat="false" ht="15" hidden="false" customHeight="false" outlineLevel="0" collapsed="false">
      <c r="A4" s="11" t="s">
        <v>177</v>
      </c>
      <c r="B4" s="11" t="s">
        <v>178</v>
      </c>
      <c r="C4" s="10" t="s">
        <v>179</v>
      </c>
      <c r="D4" s="11" t="s">
        <v>180</v>
      </c>
      <c r="E4" s="10" t="n">
        <v>1</v>
      </c>
      <c r="F4" s="11" t="s">
        <v>181</v>
      </c>
      <c r="G4" s="11" t="s">
        <v>182</v>
      </c>
      <c r="H4" s="10" t="n">
        <v>21</v>
      </c>
      <c r="I4" s="10" t="n">
        <v>0</v>
      </c>
      <c r="J4" s="10" t="n">
        <v>0</v>
      </c>
      <c r="K4" s="10" t="n">
        <v>26</v>
      </c>
      <c r="L4" s="10" t="n">
        <v>19</v>
      </c>
      <c r="M4" s="10" t="n">
        <v>14</v>
      </c>
      <c r="N4" s="10" t="n">
        <v>14</v>
      </c>
      <c r="O4" s="11" t="s">
        <v>183</v>
      </c>
      <c r="P4" s="11" t="s">
        <v>184</v>
      </c>
      <c r="Q4" s="10"/>
      <c r="R4" s="10"/>
      <c r="S4" s="10" t="s">
        <v>69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</row>
    <row r="205" customFormat="false" ht="15" hidden="false" customHeight="false" outlineLevel="0" collapsed="false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</row>
    <row r="206" customFormat="false" ht="15" hidden="false" customHeight="false" outlineLevel="0" collapsed="false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</row>
    <row r="207" customFormat="false" ht="15" hidden="false" customHeight="false" outlineLevel="0" collapsed="false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</row>
    <row r="208" customFormat="false" ht="15" hidden="false" customHeight="false" outlineLevel="0" collapsed="false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</row>
    <row r="209" customFormat="false" ht="15" hidden="false" customHeight="false" outlineLevel="0" collapsed="false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</row>
    <row r="210" customFormat="false" ht="15" hidden="false" customHeight="false" outlineLevel="0" collapsed="false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</row>
    <row r="211" customFormat="false" ht="15" hidden="false" customHeight="false" outlineLevel="0" collapsed="false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</row>
    <row r="212" customFormat="false" ht="15" hidden="false" customHeight="false" outlineLevel="0" collapsed="false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</row>
    <row r="213" customFormat="false" ht="15" hidden="false" customHeight="false" outlineLevel="0" collapsed="false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</row>
    <row r="214" customFormat="false" ht="15" hidden="false" customHeight="false" outlineLevel="0" collapsed="false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</row>
    <row r="215" customFormat="false" ht="15" hidden="false" customHeight="false" outlineLevel="0" collapsed="false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</row>
    <row r="216" customFormat="false" ht="15" hidden="false" customHeight="false" outlineLevel="0" collapsed="false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</row>
    <row r="217" customFormat="false" ht="15" hidden="false" customHeight="false" outlineLevel="0" collapsed="false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</row>
    <row r="218" customFormat="false" ht="15" hidden="false" customHeight="false" outlineLevel="0" collapsed="false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</row>
    <row r="219" customFormat="false" ht="15" hidden="false" customHeight="false" outlineLevel="0" collapsed="false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</row>
    <row r="220" customFormat="false" ht="15" hidden="false" customHeight="false" outlineLevel="0" collapsed="false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</row>
    <row r="221" customFormat="false" ht="15" hidden="false" customHeight="false" outlineLevel="0" collapsed="false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</row>
    <row r="222" customFormat="false" ht="15" hidden="false" customHeight="false" outlineLevel="0" collapsed="false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</row>
    <row r="223" customFormat="false" ht="15" hidden="false" customHeight="false" outlineLevel="0" collapsed="false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</row>
    <row r="224" customFormat="false" ht="15" hidden="false" customHeight="false" outlineLevel="0" collapsed="false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</row>
    <row r="225" customFormat="false" ht="15" hidden="false" customHeight="false" outlineLevel="0" collapsed="false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</row>
    <row r="226" customFormat="false" ht="15" hidden="false" customHeight="false" outlineLevel="0" collapsed="false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</row>
    <row r="227" customFormat="false" ht="15" hidden="false" customHeight="false" outlineLevel="0" collapsed="false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</row>
    <row r="228" customFormat="false" ht="15" hidden="false" customHeight="false" outlineLevel="0" collapsed="false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</row>
    <row r="229" customFormat="false" ht="15" hidden="false" customHeight="false" outlineLevel="0" collapsed="false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</row>
    <row r="230" customFormat="false" ht="15" hidden="false" customHeight="false" outlineLevel="0" collapsed="false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</row>
    <row r="231" customFormat="false" ht="15" hidden="false" customHeight="false" outlineLevel="0" collapsed="false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</row>
    <row r="232" customFormat="false" ht="15" hidden="false" customHeight="false" outlineLevel="0" collapsed="false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</row>
    <row r="233" customFormat="false" ht="15" hidden="false" customHeight="false" outlineLevel="0" collapsed="false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</row>
    <row r="234" customFormat="false" ht="15" hidden="false" customHeight="false" outlineLevel="0" collapsed="false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</row>
    <row r="235" customFormat="false" ht="15" hidden="false" customHeight="false" outlineLevel="0" collapsed="false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</row>
    <row r="236" customFormat="false" ht="15" hidden="false" customHeight="false" outlineLevel="0" collapsed="false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</row>
    <row r="237" customFormat="false" ht="15" hidden="false" customHeight="false" outlineLevel="0" collapsed="false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</row>
    <row r="238" customFormat="false" ht="15" hidden="false" customHeight="false" outlineLevel="0" collapsed="false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</row>
    <row r="239" customFormat="false" ht="15" hidden="false" customHeight="false" outlineLevel="0" collapsed="false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</row>
    <row r="240" customFormat="false" ht="15" hidden="false" customHeight="false" outlineLevel="0" collapsed="false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</row>
    <row r="267" customFormat="false" ht="15" hidden="false" customHeight="fals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</row>
    <row r="268" customFormat="false" ht="15" hidden="false" customHeight="fals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</row>
    <row r="269" customFormat="false" ht="15" hidden="false" customHeight="fals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</row>
    <row r="270" customFormat="false" ht="15" hidden="false" customHeight="fals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</row>
    <row r="271" customFormat="false" ht="15" hidden="false" customHeight="fals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</row>
    <row r="272" customFormat="false" ht="15" hidden="false" customHeight="fals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</row>
    <row r="273" customFormat="false" ht="15" hidden="false" customHeight="fals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</row>
    <row r="274" customFormat="false" ht="15" hidden="false" customHeight="fals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</row>
    <row r="275" customFormat="false" ht="15" hidden="false" customHeight="fals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</row>
    <row r="276" customFormat="false" ht="15" hidden="false" customHeight="fals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</row>
    <row r="277" customFormat="false" ht="15" hidden="false" customHeight="fals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</row>
    <row r="278" customFormat="false" ht="15" hidden="false" customHeight="fals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</row>
    <row r="279" customFormat="false" ht="15" hidden="false" customHeight="fals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</row>
    <row r="280" customFormat="false" ht="15" hidden="false" customHeight="fals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</row>
    <row r="281" customFormat="false" ht="15" hidden="false" customHeight="fals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</row>
    <row r="282" customFormat="false" ht="15" hidden="false" customHeight="fals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</row>
    <row r="283" customFormat="false" ht="15" hidden="false" customHeight="fals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</row>
    <row r="284" customFormat="false" ht="15" hidden="false" customHeight="fals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</row>
    <row r="285" customFormat="false" ht="15" hidden="false" customHeight="fals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</row>
    <row r="286" customFormat="false" ht="15" hidden="false" customHeight="fals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</row>
    <row r="287" customFormat="false" ht="15" hidden="false" customHeight="fals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</row>
    <row r="288" customFormat="false" ht="15" hidden="false" customHeight="fals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</row>
    <row r="289" customFormat="false" ht="15" hidden="false" customHeight="fals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</row>
    <row r="290" customFormat="false" ht="15" hidden="false" customHeight="fals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</row>
    <row r="291" customFormat="false" ht="15" hidden="false" customHeight="fals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</row>
    <row r="292" customFormat="false" ht="15" hidden="false" customHeight="fals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</row>
    <row r="293" customFormat="false" ht="15" hidden="false" customHeight="fals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</row>
    <row r="294" customFormat="false" ht="15" hidden="false" customHeight="fals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</row>
    <row r="295" customFormat="false" ht="15" hidden="false" customHeight="fals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</row>
    <row r="296" customFormat="false" ht="15" hidden="false" customHeight="fals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</row>
    <row r="297" customFormat="false" ht="15" hidden="false" customHeight="fals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</row>
    <row r="298" customFormat="false" ht="15" hidden="false" customHeight="fals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</row>
    <row r="299" customFormat="false" ht="15" hidden="false" customHeight="fals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</row>
    <row r="300" customFormat="false" ht="15" hidden="false" customHeight="fals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</row>
    <row r="301" customFormat="false" ht="15" hidden="false" customHeight="fals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</row>
    <row r="302" customFormat="false" ht="15" hidden="false" customHeight="fals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</row>
    <row r="303" customFormat="false" ht="15" hidden="false" customHeight="fals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</row>
    <row r="304" customFormat="false" ht="15" hidden="false" customHeight="fals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</row>
    <row r="305" customFormat="false" ht="15" hidden="false" customHeight="fals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</row>
    <row r="306" customFormat="false" ht="15" hidden="false" customHeight="fals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</row>
    <row r="307" customFormat="false" ht="15" hidden="false" customHeight="fals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</row>
    <row r="308" customFormat="false" ht="15" hidden="false" customHeight="fals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</row>
    <row r="309" customFormat="false" ht="15" hidden="false" customHeight="fals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</row>
    <row r="310" customFormat="false" ht="15" hidden="false" customHeight="fals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</row>
    <row r="311" customFormat="false" ht="15" hidden="false" customHeight="fals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</row>
    <row r="312" customFormat="false" ht="15" hidden="false" customHeight="fals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</row>
    <row r="313" customFormat="false" ht="15" hidden="false" customHeight="fals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</row>
    <row r="314" customFormat="false" ht="15" hidden="false" customHeight="fals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</row>
    <row r="315" customFormat="false" ht="15" hidden="false" customHeight="fals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</row>
    <row r="316" customFormat="false" ht="15" hidden="false" customHeight="fals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</row>
    <row r="317" customFormat="false" ht="15" hidden="false" customHeight="fals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</row>
    <row r="318" customFormat="false" ht="15" hidden="false" customHeight="fals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</row>
    <row r="319" customFormat="false" ht="15" hidden="false" customHeight="fals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</row>
    <row r="320" customFormat="false" ht="15" hidden="false" customHeight="fals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</row>
    <row r="321" customFormat="false" ht="15" hidden="false" customHeight="fals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</row>
    <row r="322" customFormat="false" ht="15" hidden="false" customHeight="fals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</row>
    <row r="323" customFormat="false" ht="15" hidden="false" customHeight="fals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</row>
    <row r="324" customFormat="false" ht="15" hidden="false" customHeight="fals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</row>
    <row r="325" customFormat="false" ht="15" hidden="false" customHeight="fals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</row>
    <row r="326" customFormat="false" ht="15" hidden="false" customHeight="fals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</row>
    <row r="327" customFormat="false" ht="15" hidden="false" customHeight="fals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</row>
    <row r="328" customFormat="false" ht="15" hidden="false" customHeight="fals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</row>
    <row r="329" customFormat="false" ht="15" hidden="false" customHeight="fals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</row>
    <row r="330" customFormat="false" ht="15" hidden="false" customHeight="fals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</row>
    <row r="331" customFormat="false" ht="15" hidden="false" customHeight="fals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</row>
    <row r="332" customFormat="false" ht="15" hidden="false" customHeight="fals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</row>
    <row r="333" customFormat="false" ht="15" hidden="false" customHeight="fals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</row>
    <row r="334" customFormat="false" ht="15" hidden="false" customHeight="fals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</row>
    <row r="335" customFormat="false" ht="15" hidden="false" customHeight="fals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</row>
    <row r="336" customFormat="false" ht="15" hidden="false" customHeight="fals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</row>
    <row r="337" customFormat="false" ht="15" hidden="false" customHeight="fals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</row>
    <row r="338" customFormat="false" ht="15" hidden="false" customHeight="fals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</row>
    <row r="339" customFormat="false" ht="15" hidden="false" customHeight="fals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</row>
    <row r="340" customFormat="false" ht="15" hidden="false" customHeight="fals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</row>
    <row r="341" customFormat="false" ht="15" hidden="false" customHeight="fals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</row>
    <row r="342" customFormat="false" ht="15" hidden="false" customHeight="fals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</row>
    <row r="343" customFormat="false" ht="15" hidden="false" customHeight="fals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</row>
    <row r="344" customFormat="false" ht="15" hidden="false" customHeight="fals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</row>
    <row r="345" customFormat="false" ht="15" hidden="false" customHeight="fals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</row>
    <row r="346" customFormat="false" ht="15" hidden="false" customHeight="fals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</row>
    <row r="347" customFormat="false" ht="15" hidden="false" customHeight="fals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</row>
    <row r="348" customFormat="false" ht="15" hidden="false" customHeight="fals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</row>
    <row r="349" customFormat="false" ht="15" hidden="false" customHeight="fals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</row>
    <row r="350" customFormat="false" ht="15" hidden="false" customHeight="fals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</row>
    <row r="351" customFormat="false" ht="15" hidden="false" customHeight="fals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</row>
    <row r="352" customFormat="false" ht="15" hidden="false" customHeight="fals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</row>
    <row r="353" customFormat="false" ht="15" hidden="false" customHeight="fals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</row>
    <row r="354" customFormat="false" ht="15" hidden="false" customHeight="fals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</row>
    <row r="355" customFormat="false" ht="15" hidden="false" customHeight="fals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</row>
    <row r="356" customFormat="false" ht="15" hidden="false" customHeight="fals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</row>
    <row r="357" customFormat="false" ht="15" hidden="false" customHeight="fals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</row>
    <row r="358" customFormat="false" ht="15" hidden="false" customHeight="fals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</row>
    <row r="359" customFormat="false" ht="15" hidden="false" customHeight="fals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</row>
    <row r="360" customFormat="false" ht="15" hidden="false" customHeight="fals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</row>
    <row r="361" customFormat="false" ht="15" hidden="false" customHeight="fals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</row>
    <row r="362" customFormat="false" ht="15" hidden="false" customHeight="fals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</row>
    <row r="363" customFormat="false" ht="15" hidden="false" customHeight="fals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</row>
    <row r="364" customFormat="false" ht="15" hidden="false" customHeight="fals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</row>
    <row r="365" customFormat="false" ht="15" hidden="false" customHeight="fals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</row>
    <row r="366" customFormat="false" ht="15" hidden="false" customHeight="fals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</row>
    <row r="367" customFormat="false" ht="15" hidden="false" customHeight="fals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</row>
    <row r="368" customFormat="false" ht="15" hidden="false" customHeight="fals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</row>
    <row r="369" customFormat="false" ht="15" hidden="false" customHeight="fals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</row>
    <row r="370" customFormat="false" ht="15" hidden="false" customHeight="fals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</row>
    <row r="371" customFormat="false" ht="15" hidden="false" customHeight="fals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</row>
    <row r="372" customFormat="false" ht="15" hidden="false" customHeight="fals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</row>
    <row r="373" customFormat="false" ht="15" hidden="false" customHeight="fals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</row>
    <row r="374" customFormat="false" ht="15" hidden="false" customHeight="fals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</row>
    <row r="375" customFormat="false" ht="15" hidden="false" customHeight="fals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</row>
    <row r="376" customFormat="false" ht="15" hidden="false" customHeight="fals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</row>
    <row r="377" customFormat="false" ht="15" hidden="false" customHeight="fals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</row>
    <row r="378" customFormat="false" ht="15" hidden="false" customHeight="fals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</row>
    <row r="379" customFormat="false" ht="15" hidden="false" customHeight="fals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</row>
    <row r="380" customFormat="false" ht="15" hidden="false" customHeight="fals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</row>
    <row r="381" customFormat="false" ht="15" hidden="false" customHeight="fals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</row>
    <row r="382" customFormat="false" ht="15" hidden="false" customHeight="fals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</row>
    <row r="383" customFormat="false" ht="15" hidden="false" customHeight="fals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</row>
    <row r="384" customFormat="false" ht="15" hidden="false" customHeight="fals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</row>
    <row r="385" customFormat="false" ht="15" hidden="false" customHeight="fals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</row>
    <row r="386" customFormat="false" ht="15" hidden="false" customHeight="fals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</row>
    <row r="387" customFormat="false" ht="15" hidden="false" customHeight="fals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</row>
    <row r="388" customFormat="false" ht="15" hidden="false" customHeight="fals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</row>
    <row r="389" customFormat="false" ht="15" hidden="false" customHeight="fals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</row>
    <row r="390" customFormat="false" ht="15" hidden="false" customHeight="fals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</row>
    <row r="391" customFormat="false" ht="15" hidden="false" customHeight="fals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</row>
    <row r="392" customFormat="false" ht="15" hidden="false" customHeight="fals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</row>
    <row r="393" customFormat="false" ht="15" hidden="false" customHeight="fals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</row>
    <row r="394" customFormat="false" ht="15" hidden="false" customHeight="fals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</row>
    <row r="395" customFormat="false" ht="15" hidden="false" customHeight="fals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</row>
    <row r="396" customFormat="false" ht="15" hidden="false" customHeight="fals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</row>
    <row r="397" customFormat="false" ht="15" hidden="false" customHeight="fals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</row>
    <row r="398" customFormat="false" ht="15" hidden="false" customHeight="fals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</row>
    <row r="399" customFormat="false" ht="15" hidden="false" customHeight="fals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</row>
    <row r="400" customFormat="false" ht="15" hidden="false" customHeight="fals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</row>
  </sheetData>
  <dataValidations count="2">
    <dataValidation allowBlank="true" errorStyle="stop" operator="between" showDropDown="false" showErrorMessage="false" showInputMessage="false" sqref="A4:A400" type="list">
      <formula1>"L1,L2,L3,L4,C1,C2"</formula1>
      <formula2>0</formula2>
    </dataValidation>
    <dataValidation allowBlank="true" errorStyle="stop" operator="between" showDropDown="false" showErrorMessage="false" showInputMessage="false" sqref="C4:C400" type="list">
      <formula1>"本機,代理"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4" min="3" style="0" width="6"/>
    <col collapsed="false" customWidth="true" hidden="false" outlineLevel="0" max="5" min="5" style="0" width="40"/>
    <col collapsed="false" customWidth="true" hidden="false" outlineLevel="0" max="6" min="6" style="0" width="52"/>
    <col collapsed="false" customWidth="true" hidden="false" outlineLevel="0" max="7" min="7" style="0" width="40"/>
    <col collapsed="false" customWidth="true" hidden="false" outlineLevel="0" max="8" min="8" style="0" width="20"/>
  </cols>
  <sheetData>
    <row r="1" customFormat="false" ht="20.1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3" customFormat="false" ht="30" hidden="false" customHeight="true" outlineLevel="0" collapsed="false">
      <c r="A3" s="8" t="s">
        <v>187</v>
      </c>
      <c r="B3" s="8" t="s">
        <v>164</v>
      </c>
      <c r="C3" s="8" t="s">
        <v>188</v>
      </c>
      <c r="D3" s="8" t="s">
        <v>189</v>
      </c>
      <c r="E3" s="8" t="s">
        <v>190</v>
      </c>
      <c r="F3" s="8" t="s">
        <v>191</v>
      </c>
      <c r="G3" s="8" t="s">
        <v>192</v>
      </c>
      <c r="H3" s="8" t="s">
        <v>60</v>
      </c>
    </row>
    <row r="4" customFormat="false" ht="29.85" hidden="false" customHeight="false" outlineLevel="0" collapsed="false">
      <c r="A4" s="17" t="s">
        <v>193</v>
      </c>
      <c r="B4" s="17" t="s">
        <v>180</v>
      </c>
      <c r="C4" s="17" t="s">
        <v>194</v>
      </c>
      <c r="D4" s="17" t="n">
        <v>4</v>
      </c>
      <c r="E4" s="18" t="s">
        <v>195</v>
      </c>
      <c r="F4" s="18" t="s">
        <v>196</v>
      </c>
      <c r="G4" s="12" t="s">
        <v>197</v>
      </c>
    </row>
    <row r="5" customFormat="false" ht="29.85" hidden="false" customHeight="false" outlineLevel="0" collapsed="false">
      <c r="A5" s="17" t="s">
        <v>198</v>
      </c>
      <c r="B5" s="17" t="s">
        <v>180</v>
      </c>
      <c r="C5" s="17" t="s">
        <v>199</v>
      </c>
      <c r="D5" s="17" t="n">
        <v>6</v>
      </c>
      <c r="E5" s="18" t="s">
        <v>200</v>
      </c>
      <c r="F5" s="18" t="s">
        <v>201</v>
      </c>
      <c r="G5" s="12" t="s">
        <v>202</v>
      </c>
    </row>
    <row r="6" customFormat="false" ht="29.85" hidden="false" customHeight="false" outlineLevel="0" collapsed="false">
      <c r="A6" s="17" t="s">
        <v>203</v>
      </c>
      <c r="B6" s="17" t="s">
        <v>180</v>
      </c>
      <c r="C6" s="17" t="s">
        <v>199</v>
      </c>
      <c r="D6" s="17" t="n">
        <v>12</v>
      </c>
      <c r="E6" s="18" t="s">
        <v>204</v>
      </c>
      <c r="F6" s="18" t="s">
        <v>205</v>
      </c>
      <c r="G6" s="12" t="s">
        <v>206</v>
      </c>
    </row>
    <row r="7" customFormat="false" ht="29.85" hidden="false" customHeight="false" outlineLevel="0" collapsed="false">
      <c r="A7" s="17" t="s">
        <v>207</v>
      </c>
      <c r="B7" s="17" t="s">
        <v>180</v>
      </c>
      <c r="C7" s="17" t="s">
        <v>208</v>
      </c>
      <c r="D7" s="17" t="n">
        <v>22</v>
      </c>
      <c r="E7" s="18" t="s">
        <v>209</v>
      </c>
      <c r="F7" s="18" t="s">
        <v>210</v>
      </c>
      <c r="G7" s="12" t="s">
        <v>211</v>
      </c>
    </row>
    <row r="8" customFormat="false" ht="29.85" hidden="false" customHeight="false" outlineLevel="0" collapsed="false">
      <c r="A8" s="17" t="s">
        <v>212</v>
      </c>
      <c r="B8" s="17" t="s">
        <v>180</v>
      </c>
      <c r="C8" s="17" t="s">
        <v>213</v>
      </c>
      <c r="D8" s="17" t="n">
        <v>24</v>
      </c>
      <c r="E8" s="18" t="s">
        <v>214</v>
      </c>
      <c r="F8" s="18" t="s">
        <v>215</v>
      </c>
      <c r="G8" s="12" t="s">
        <v>216</v>
      </c>
    </row>
    <row r="9" customFormat="false" ht="29.85" hidden="false" customHeight="false" outlineLevel="0" collapsed="false">
      <c r="A9" s="17" t="s">
        <v>217</v>
      </c>
      <c r="B9" s="17" t="s">
        <v>180</v>
      </c>
      <c r="C9" s="17" t="s">
        <v>218</v>
      </c>
      <c r="D9" s="17" t="n">
        <v>28</v>
      </c>
      <c r="E9" s="18" t="s">
        <v>219</v>
      </c>
      <c r="F9" s="18" t="s">
        <v>220</v>
      </c>
      <c r="G9" s="12" t="s">
        <v>221</v>
      </c>
    </row>
    <row r="10" customFormat="false" ht="29.85" hidden="false" customHeight="false" outlineLevel="0" collapsed="false">
      <c r="A10" s="17" t="s">
        <v>222</v>
      </c>
      <c r="B10" s="17" t="s">
        <v>180</v>
      </c>
      <c r="C10" s="17" t="s">
        <v>223</v>
      </c>
      <c r="D10" s="17" t="n">
        <v>38</v>
      </c>
      <c r="E10" s="18" t="s">
        <v>224</v>
      </c>
      <c r="F10" s="18" t="s">
        <v>225</v>
      </c>
      <c r="G10" s="12" t="s">
        <v>226</v>
      </c>
    </row>
    <row r="11" customFormat="false" ht="15" hidden="false" customHeight="false" outlineLevel="0" collapsed="false">
      <c r="A11" s="17" t="s">
        <v>227</v>
      </c>
      <c r="B11" s="17" t="s">
        <v>180</v>
      </c>
      <c r="C11" s="17" t="s">
        <v>228</v>
      </c>
      <c r="D11" s="17" t="n">
        <v>32</v>
      </c>
      <c r="E11" s="18" t="s">
        <v>229</v>
      </c>
      <c r="F11" s="18" t="s">
        <v>230</v>
      </c>
      <c r="G11" s="18" t="s">
        <v>231</v>
      </c>
    </row>
    <row r="12" customFormat="false" ht="15" hidden="false" customHeight="false" outlineLevel="0" collapsed="false">
      <c r="A12" s="17" t="s">
        <v>232</v>
      </c>
      <c r="B12" s="17" t="s">
        <v>180</v>
      </c>
      <c r="C12" s="17" t="s">
        <v>233</v>
      </c>
      <c r="D12" s="17" t="n">
        <v>13</v>
      </c>
      <c r="E12" s="18" t="s">
        <v>234</v>
      </c>
      <c r="F12" s="18" t="s">
        <v>235</v>
      </c>
      <c r="G12" s="18" t="s">
        <v>236</v>
      </c>
    </row>
    <row r="13" customFormat="false" ht="44" hidden="false" customHeight="false" outlineLevel="0" collapsed="false">
      <c r="A13" s="17" t="s">
        <v>237</v>
      </c>
      <c r="B13" s="17" t="s">
        <v>238</v>
      </c>
      <c r="C13" s="17" t="s">
        <v>199</v>
      </c>
      <c r="D13" s="17" t="n">
        <v>12</v>
      </c>
      <c r="E13" s="18" t="s">
        <v>239</v>
      </c>
      <c r="F13" s="18" t="s">
        <v>240</v>
      </c>
      <c r="G13" s="12" t="s">
        <v>241</v>
      </c>
    </row>
    <row r="14" customFormat="false" ht="29.85" hidden="false" customHeight="false" outlineLevel="0" collapsed="false">
      <c r="A14" s="17" t="s">
        <v>242</v>
      </c>
      <c r="B14" s="17" t="s">
        <v>238</v>
      </c>
      <c r="C14" s="17" t="s">
        <v>223</v>
      </c>
      <c r="D14" s="17" t="n">
        <v>18</v>
      </c>
      <c r="E14" s="18" t="s">
        <v>243</v>
      </c>
      <c r="F14" s="18" t="s">
        <v>244</v>
      </c>
      <c r="G14" s="12" t="s">
        <v>245</v>
      </c>
    </row>
    <row r="15" customFormat="false" ht="29.85" hidden="false" customHeight="false" outlineLevel="0" collapsed="false">
      <c r="A15" s="17" t="s">
        <v>246</v>
      </c>
      <c r="B15" s="17" t="s">
        <v>238</v>
      </c>
      <c r="C15" s="17" t="s">
        <v>194</v>
      </c>
      <c r="D15" s="17" t="n">
        <v>24</v>
      </c>
      <c r="E15" s="18" t="s">
        <v>247</v>
      </c>
      <c r="F15" s="18" t="s">
        <v>248</v>
      </c>
      <c r="G15" s="12" t="s">
        <v>249</v>
      </c>
    </row>
    <row r="16" customFormat="false" ht="29.85" hidden="false" customHeight="false" outlineLevel="0" collapsed="false">
      <c r="A16" s="17" t="s">
        <v>250</v>
      </c>
      <c r="B16" s="17" t="s">
        <v>238</v>
      </c>
      <c r="C16" s="17" t="s">
        <v>199</v>
      </c>
      <c r="D16" s="17" t="n">
        <v>26</v>
      </c>
      <c r="E16" s="18" t="s">
        <v>251</v>
      </c>
      <c r="F16" s="18" t="s">
        <v>252</v>
      </c>
      <c r="G16" s="12" t="s">
        <v>253</v>
      </c>
    </row>
    <row r="17" customFormat="false" ht="29.85" hidden="false" customHeight="false" outlineLevel="0" collapsed="false">
      <c r="A17" s="17" t="s">
        <v>254</v>
      </c>
      <c r="B17" s="17" t="s">
        <v>238</v>
      </c>
      <c r="C17" s="17" t="s">
        <v>208</v>
      </c>
      <c r="D17" s="17" t="n">
        <v>30</v>
      </c>
      <c r="E17" s="18" t="s">
        <v>255</v>
      </c>
      <c r="F17" s="18" t="s">
        <v>256</v>
      </c>
      <c r="G17" s="12" t="s">
        <v>257</v>
      </c>
    </row>
    <row r="18" customFormat="false" ht="15" hidden="false" customHeight="false" outlineLevel="0" collapsed="false">
      <c r="A18" s="17" t="s">
        <v>258</v>
      </c>
      <c r="B18" s="17" t="s">
        <v>238</v>
      </c>
      <c r="C18" s="17" t="s">
        <v>259</v>
      </c>
      <c r="D18" s="17" t="n">
        <v>32</v>
      </c>
      <c r="E18" s="18" t="s">
        <v>260</v>
      </c>
      <c r="F18" s="18" t="s">
        <v>261</v>
      </c>
      <c r="G18" s="12" t="s">
        <v>262</v>
      </c>
    </row>
    <row r="19" customFormat="false" ht="29.85" hidden="false" customHeight="false" outlineLevel="0" collapsed="false">
      <c r="A19" s="17" t="s">
        <v>263</v>
      </c>
      <c r="B19" s="17" t="s">
        <v>238</v>
      </c>
      <c r="C19" s="17" t="s">
        <v>218</v>
      </c>
      <c r="D19" s="17" t="n">
        <v>34</v>
      </c>
      <c r="E19" s="18" t="s">
        <v>264</v>
      </c>
      <c r="F19" s="18" t="s">
        <v>265</v>
      </c>
      <c r="G19" s="12" t="s">
        <v>266</v>
      </c>
    </row>
    <row r="20" customFormat="false" ht="15" hidden="false" customHeight="false" outlineLevel="0" collapsed="false">
      <c r="A20" s="17" t="s">
        <v>267</v>
      </c>
      <c r="B20" s="17" t="s">
        <v>238</v>
      </c>
      <c r="C20" s="17" t="s">
        <v>233</v>
      </c>
      <c r="D20" s="17" t="n">
        <v>31</v>
      </c>
      <c r="E20" s="18" t="s">
        <v>268</v>
      </c>
      <c r="F20" s="18" t="s">
        <v>269</v>
      </c>
      <c r="G20" s="18" t="s">
        <v>236</v>
      </c>
    </row>
    <row r="21" customFormat="false" ht="29.85" hidden="false" customHeight="false" outlineLevel="0" collapsed="false">
      <c r="A21" s="17" t="s">
        <v>270</v>
      </c>
      <c r="B21" s="17" t="s">
        <v>271</v>
      </c>
      <c r="C21" s="17" t="s">
        <v>259</v>
      </c>
      <c r="D21" s="17" t="n">
        <v>6</v>
      </c>
      <c r="E21" s="18" t="s">
        <v>272</v>
      </c>
      <c r="F21" s="18" t="s">
        <v>273</v>
      </c>
      <c r="G21" s="12" t="s">
        <v>274</v>
      </c>
    </row>
    <row r="22" customFormat="false" ht="29.85" hidden="false" customHeight="false" outlineLevel="0" collapsed="false">
      <c r="A22" s="17" t="s">
        <v>275</v>
      </c>
      <c r="B22" s="17" t="s">
        <v>271</v>
      </c>
      <c r="C22" s="17" t="s">
        <v>199</v>
      </c>
      <c r="D22" s="17" t="n">
        <v>10</v>
      </c>
      <c r="E22" s="18" t="s">
        <v>276</v>
      </c>
      <c r="F22" s="18" t="s">
        <v>277</v>
      </c>
      <c r="G22" s="12" t="s">
        <v>278</v>
      </c>
    </row>
    <row r="23" customFormat="false" ht="29.85" hidden="false" customHeight="false" outlineLevel="0" collapsed="false">
      <c r="A23" s="17" t="s">
        <v>279</v>
      </c>
      <c r="B23" s="17" t="s">
        <v>271</v>
      </c>
      <c r="C23" s="17" t="s">
        <v>199</v>
      </c>
      <c r="D23" s="17" t="n">
        <v>12</v>
      </c>
      <c r="E23" s="18" t="s">
        <v>280</v>
      </c>
      <c r="F23" s="18" t="s">
        <v>281</v>
      </c>
      <c r="G23" s="12" t="s">
        <v>282</v>
      </c>
    </row>
    <row r="24" customFormat="false" ht="29.85" hidden="false" customHeight="false" outlineLevel="0" collapsed="false">
      <c r="A24" s="17" t="s">
        <v>283</v>
      </c>
      <c r="B24" s="17" t="s">
        <v>271</v>
      </c>
      <c r="C24" s="17" t="s">
        <v>223</v>
      </c>
      <c r="D24" s="17" t="n">
        <v>14</v>
      </c>
      <c r="E24" s="18" t="s">
        <v>284</v>
      </c>
      <c r="F24" s="18" t="s">
        <v>285</v>
      </c>
      <c r="G24" s="12" t="s">
        <v>286</v>
      </c>
    </row>
    <row r="25" customFormat="false" ht="29.85" hidden="false" customHeight="false" outlineLevel="0" collapsed="false">
      <c r="A25" s="17" t="s">
        <v>287</v>
      </c>
      <c r="B25" s="17" t="s">
        <v>271</v>
      </c>
      <c r="C25" s="17" t="s">
        <v>208</v>
      </c>
      <c r="D25" s="17" t="n">
        <v>16</v>
      </c>
      <c r="E25" s="18" t="s">
        <v>288</v>
      </c>
      <c r="F25" s="18" t="s">
        <v>289</v>
      </c>
      <c r="G25" s="12" t="s">
        <v>290</v>
      </c>
    </row>
    <row r="26" customFormat="false" ht="29.85" hidden="false" customHeight="false" outlineLevel="0" collapsed="false">
      <c r="A26" s="17" t="s">
        <v>291</v>
      </c>
      <c r="B26" s="17" t="s">
        <v>271</v>
      </c>
      <c r="C26" s="17" t="s">
        <v>223</v>
      </c>
      <c r="D26" s="17" t="n">
        <v>24</v>
      </c>
      <c r="E26" s="18" t="s">
        <v>292</v>
      </c>
      <c r="F26" s="18" t="s">
        <v>293</v>
      </c>
      <c r="G26" s="12" t="s">
        <v>294</v>
      </c>
    </row>
    <row r="27" customFormat="false" ht="29.85" hidden="false" customHeight="false" outlineLevel="0" collapsed="false">
      <c r="A27" s="17" t="s">
        <v>295</v>
      </c>
      <c r="B27" s="17" t="s">
        <v>271</v>
      </c>
      <c r="C27" s="17" t="s">
        <v>199</v>
      </c>
      <c r="D27" s="17" t="n">
        <v>26</v>
      </c>
      <c r="E27" s="18" t="s">
        <v>296</v>
      </c>
      <c r="F27" s="18" t="s">
        <v>297</v>
      </c>
      <c r="G27" s="12" t="s">
        <v>298</v>
      </c>
    </row>
    <row r="28" customFormat="false" ht="29.85" hidden="false" customHeight="false" outlineLevel="0" collapsed="false">
      <c r="A28" s="17" t="s">
        <v>299</v>
      </c>
      <c r="B28" s="17" t="s">
        <v>271</v>
      </c>
      <c r="C28" s="17" t="s">
        <v>218</v>
      </c>
      <c r="D28" s="17" t="n">
        <v>30</v>
      </c>
      <c r="E28" s="18" t="s">
        <v>300</v>
      </c>
      <c r="F28" s="18" t="s">
        <v>301</v>
      </c>
      <c r="G28" s="12" t="s">
        <v>302</v>
      </c>
    </row>
    <row r="29" customFormat="false" ht="15" hidden="false" customHeight="false" outlineLevel="0" collapsed="false">
      <c r="A29" s="17" t="s">
        <v>303</v>
      </c>
      <c r="B29" s="17" t="s">
        <v>271</v>
      </c>
      <c r="C29" s="17" t="s">
        <v>228</v>
      </c>
      <c r="D29" s="17" t="n">
        <v>2</v>
      </c>
      <c r="E29" s="18" t="s">
        <v>304</v>
      </c>
      <c r="F29" s="18" t="s">
        <v>305</v>
      </c>
      <c r="G29" s="18" t="s">
        <v>231</v>
      </c>
    </row>
    <row r="31" customFormat="false" ht="15" hidden="false" customHeight="false" outlineLevel="0" collapsed="false">
      <c r="A31" s="16" t="s">
        <v>306</v>
      </c>
    </row>
    <row r="33" customFormat="false" ht="15" hidden="false" customHeight="false" outlineLevel="0" collapsed="false">
      <c r="A33" s="18"/>
      <c r="B33" s="18"/>
      <c r="C33" s="12"/>
      <c r="D33" s="18"/>
      <c r="E33" s="18"/>
      <c r="F33" s="18"/>
      <c r="G33" s="18"/>
      <c r="H33" s="18"/>
    </row>
    <row r="34" customFormat="false" ht="15" hidden="false" customHeight="false" outlineLevel="0" collapsed="false">
      <c r="A34" s="18"/>
      <c r="B34" s="18"/>
      <c r="C34" s="12"/>
      <c r="D34" s="18"/>
      <c r="E34" s="18"/>
      <c r="F34" s="18"/>
      <c r="G34" s="18"/>
      <c r="H34" s="18"/>
    </row>
    <row r="35" customFormat="false" ht="15" hidden="false" customHeight="false" outlineLevel="0" collapsed="false">
      <c r="A35" s="18"/>
      <c r="B35" s="18"/>
      <c r="C35" s="12"/>
      <c r="D35" s="18"/>
      <c r="E35" s="18"/>
      <c r="F35" s="18"/>
      <c r="G35" s="18"/>
      <c r="H35" s="18"/>
    </row>
    <row r="36" customFormat="false" ht="15" hidden="false" customHeight="false" outlineLevel="0" collapsed="false">
      <c r="A36" s="18"/>
      <c r="B36" s="18"/>
      <c r="C36" s="12"/>
      <c r="D36" s="18"/>
      <c r="E36" s="18"/>
      <c r="F36" s="18"/>
      <c r="G36" s="18"/>
      <c r="H36" s="18"/>
    </row>
    <row r="37" customFormat="false" ht="15" hidden="false" customHeight="false" outlineLevel="0" collapsed="false">
      <c r="A37" s="18"/>
      <c r="B37" s="18"/>
      <c r="C37" s="12"/>
      <c r="D37" s="18"/>
      <c r="E37" s="18"/>
      <c r="F37" s="18"/>
      <c r="G37" s="18"/>
      <c r="H37" s="18"/>
    </row>
    <row r="38" customFormat="false" ht="15" hidden="false" customHeight="false" outlineLevel="0" collapsed="false">
      <c r="A38" s="18"/>
      <c r="B38" s="18"/>
      <c r="C38" s="12"/>
      <c r="D38" s="18"/>
      <c r="E38" s="18"/>
      <c r="F38" s="18"/>
      <c r="G38" s="18"/>
      <c r="H38" s="18"/>
    </row>
    <row r="39" customFormat="false" ht="15" hidden="false" customHeight="false" outlineLevel="0" collapsed="false">
      <c r="A39" s="18"/>
      <c r="B39" s="18"/>
      <c r="C39" s="12"/>
      <c r="D39" s="18"/>
      <c r="E39" s="18"/>
      <c r="F39" s="18"/>
      <c r="G39" s="18"/>
      <c r="H39" s="18"/>
    </row>
    <row r="40" customFormat="false" ht="15" hidden="false" customHeight="false" outlineLevel="0" collapsed="false">
      <c r="A40" s="18"/>
      <c r="B40" s="18"/>
      <c r="C40" s="12"/>
      <c r="D40" s="18"/>
      <c r="E40" s="18"/>
      <c r="F40" s="18"/>
      <c r="G40" s="18"/>
      <c r="H40" s="18"/>
    </row>
    <row r="41" customFormat="false" ht="15" hidden="false" customHeight="false" outlineLevel="0" collapsed="false">
      <c r="A41" s="18"/>
      <c r="B41" s="18"/>
      <c r="C41" s="12"/>
      <c r="D41" s="18"/>
      <c r="E41" s="18"/>
      <c r="F41" s="18"/>
      <c r="G41" s="18"/>
      <c r="H41" s="18"/>
    </row>
    <row r="42" customFormat="false" ht="15" hidden="false" customHeight="false" outlineLevel="0" collapsed="false">
      <c r="A42" s="18"/>
      <c r="B42" s="18"/>
      <c r="C42" s="12"/>
      <c r="D42" s="18"/>
      <c r="E42" s="18"/>
      <c r="F42" s="18"/>
      <c r="G42" s="18"/>
      <c r="H42" s="18"/>
    </row>
    <row r="43" customFormat="false" ht="15" hidden="false" customHeight="false" outlineLevel="0" collapsed="false">
      <c r="A43" s="18"/>
      <c r="B43" s="18"/>
      <c r="C43" s="12"/>
      <c r="D43" s="18"/>
      <c r="E43" s="18"/>
      <c r="F43" s="18"/>
      <c r="G43" s="18"/>
      <c r="H43" s="18"/>
    </row>
    <row r="44" customFormat="false" ht="15" hidden="false" customHeight="false" outlineLevel="0" collapsed="false">
      <c r="A44" s="18"/>
      <c r="B44" s="18"/>
      <c r="C44" s="12"/>
      <c r="D44" s="18"/>
      <c r="E44" s="18"/>
      <c r="F44" s="18"/>
      <c r="G44" s="18"/>
      <c r="H44" s="18"/>
    </row>
    <row r="45" customFormat="false" ht="15" hidden="false" customHeight="false" outlineLevel="0" collapsed="false">
      <c r="A45" s="18"/>
      <c r="B45" s="18"/>
      <c r="C45" s="12"/>
      <c r="D45" s="18"/>
      <c r="E45" s="18"/>
      <c r="F45" s="18"/>
      <c r="G45" s="18"/>
      <c r="H45" s="18"/>
    </row>
    <row r="46" customFormat="false" ht="15" hidden="false" customHeight="false" outlineLevel="0" collapsed="false">
      <c r="A46" s="18"/>
      <c r="B46" s="18"/>
      <c r="C46" s="12"/>
      <c r="D46" s="18"/>
      <c r="E46" s="18"/>
      <c r="F46" s="18"/>
      <c r="G46" s="18"/>
      <c r="H46" s="18"/>
    </row>
    <row r="47" customFormat="false" ht="15" hidden="false" customHeight="false" outlineLevel="0" collapsed="false">
      <c r="A47" s="18"/>
      <c r="B47" s="18"/>
      <c r="C47" s="12"/>
      <c r="D47" s="18"/>
      <c r="E47" s="18"/>
      <c r="F47" s="18"/>
      <c r="G47" s="18"/>
      <c r="H47" s="18"/>
    </row>
    <row r="48" customFormat="false" ht="15" hidden="false" customHeight="false" outlineLevel="0" collapsed="false">
      <c r="A48" s="18"/>
      <c r="B48" s="18"/>
      <c r="C48" s="12"/>
      <c r="D48" s="18"/>
      <c r="E48" s="18"/>
      <c r="F48" s="18"/>
      <c r="G48" s="18"/>
      <c r="H48" s="18"/>
    </row>
    <row r="49" customFormat="false" ht="15" hidden="false" customHeight="false" outlineLevel="0" collapsed="false">
      <c r="A49" s="18"/>
      <c r="B49" s="18"/>
      <c r="C49" s="12"/>
      <c r="D49" s="18"/>
      <c r="E49" s="18"/>
      <c r="F49" s="18"/>
      <c r="G49" s="18"/>
      <c r="H49" s="18"/>
    </row>
    <row r="50" customFormat="false" ht="15" hidden="false" customHeight="false" outlineLevel="0" collapsed="false">
      <c r="A50" s="18"/>
      <c r="B50" s="18"/>
      <c r="C50" s="12"/>
      <c r="D50" s="18"/>
      <c r="E50" s="18"/>
      <c r="F50" s="18"/>
      <c r="G50" s="18"/>
      <c r="H50" s="18"/>
    </row>
    <row r="51" customFormat="false" ht="15" hidden="false" customHeight="false" outlineLevel="0" collapsed="false">
      <c r="A51" s="18"/>
      <c r="B51" s="18"/>
      <c r="C51" s="12"/>
      <c r="D51" s="18"/>
      <c r="E51" s="18"/>
      <c r="F51" s="18"/>
      <c r="G51" s="18"/>
      <c r="H51" s="18"/>
    </row>
    <row r="52" customFormat="false" ht="15" hidden="false" customHeight="false" outlineLevel="0" collapsed="false">
      <c r="A52" s="18"/>
      <c r="B52" s="18"/>
      <c r="C52" s="12"/>
      <c r="D52" s="18"/>
      <c r="E52" s="18"/>
      <c r="F52" s="18"/>
      <c r="G52" s="18"/>
      <c r="H52" s="18"/>
    </row>
    <row r="53" customFormat="false" ht="15" hidden="false" customHeight="false" outlineLevel="0" collapsed="false">
      <c r="A53" s="18"/>
      <c r="B53" s="18"/>
      <c r="C53" s="12"/>
      <c r="D53" s="18"/>
      <c r="E53" s="18"/>
      <c r="F53" s="18"/>
      <c r="G53" s="18"/>
      <c r="H53" s="18"/>
    </row>
    <row r="54" customFormat="false" ht="15" hidden="false" customHeight="false" outlineLevel="0" collapsed="false">
      <c r="A54" s="18"/>
      <c r="B54" s="18"/>
      <c r="C54" s="12"/>
      <c r="D54" s="18"/>
      <c r="E54" s="18"/>
      <c r="F54" s="18"/>
      <c r="G54" s="18"/>
      <c r="H54" s="18"/>
    </row>
    <row r="55" customFormat="false" ht="15" hidden="false" customHeight="false" outlineLevel="0" collapsed="false">
      <c r="A55" s="18"/>
      <c r="B55" s="18"/>
      <c r="C55" s="12"/>
      <c r="D55" s="18"/>
      <c r="E55" s="18"/>
      <c r="F55" s="18"/>
      <c r="G55" s="18"/>
      <c r="H55" s="18"/>
    </row>
    <row r="56" customFormat="false" ht="15" hidden="false" customHeight="false" outlineLevel="0" collapsed="false">
      <c r="A56" s="18"/>
      <c r="B56" s="18"/>
      <c r="C56" s="12"/>
      <c r="D56" s="18"/>
      <c r="E56" s="18"/>
      <c r="F56" s="18"/>
      <c r="G56" s="18"/>
      <c r="H56" s="18"/>
    </row>
    <row r="57" customFormat="false" ht="15" hidden="false" customHeight="false" outlineLevel="0" collapsed="false">
      <c r="A57" s="18"/>
      <c r="B57" s="18"/>
      <c r="C57" s="12"/>
      <c r="D57" s="18"/>
      <c r="E57" s="18"/>
      <c r="F57" s="18"/>
      <c r="G57" s="18"/>
      <c r="H57" s="18"/>
    </row>
    <row r="58" customFormat="false" ht="15" hidden="false" customHeight="false" outlineLevel="0" collapsed="false">
      <c r="A58" s="18"/>
      <c r="B58" s="18"/>
      <c r="C58" s="12"/>
      <c r="D58" s="18"/>
      <c r="E58" s="18"/>
      <c r="F58" s="18"/>
      <c r="G58" s="18"/>
      <c r="H58" s="18"/>
    </row>
    <row r="59" customFormat="false" ht="15" hidden="false" customHeight="false" outlineLevel="0" collapsed="false">
      <c r="A59" s="18"/>
      <c r="B59" s="18"/>
      <c r="C59" s="12"/>
      <c r="D59" s="18"/>
      <c r="E59" s="18"/>
      <c r="F59" s="18"/>
      <c r="G59" s="18"/>
      <c r="H59" s="18"/>
    </row>
    <row r="60" customFormat="false" ht="15" hidden="false" customHeight="false" outlineLevel="0" collapsed="false">
      <c r="A60" s="18"/>
      <c r="B60" s="18"/>
      <c r="C60" s="12"/>
      <c r="D60" s="18"/>
      <c r="E60" s="18"/>
      <c r="F60" s="18"/>
      <c r="G60" s="18"/>
      <c r="H60" s="18"/>
    </row>
    <row r="61" customFormat="false" ht="15" hidden="false" customHeight="false" outlineLevel="0" collapsed="false">
      <c r="A61" s="18"/>
      <c r="B61" s="18"/>
      <c r="C61" s="12"/>
      <c r="D61" s="18"/>
      <c r="E61" s="18"/>
      <c r="F61" s="18"/>
      <c r="G61" s="18"/>
      <c r="H61" s="18"/>
    </row>
    <row r="62" customFormat="false" ht="15" hidden="false" customHeight="false" outlineLevel="0" collapsed="false">
      <c r="A62" s="18"/>
      <c r="B62" s="18"/>
      <c r="C62" s="12"/>
      <c r="D62" s="18"/>
      <c r="E62" s="18"/>
      <c r="F62" s="18"/>
      <c r="G62" s="18"/>
      <c r="H62" s="18"/>
    </row>
    <row r="63" customFormat="false" ht="15" hidden="false" customHeight="false" outlineLevel="0" collapsed="false">
      <c r="A63" s="18"/>
      <c r="B63" s="18"/>
      <c r="C63" s="12"/>
      <c r="D63" s="18"/>
      <c r="E63" s="18"/>
      <c r="F63" s="18"/>
      <c r="G63" s="18"/>
      <c r="H63" s="18"/>
    </row>
    <row r="64" customFormat="false" ht="15" hidden="false" customHeight="false" outlineLevel="0" collapsed="false">
      <c r="A64" s="18"/>
      <c r="B64" s="18"/>
      <c r="C64" s="12"/>
      <c r="D64" s="18"/>
      <c r="E64" s="18"/>
      <c r="F64" s="18"/>
      <c r="G64" s="18"/>
      <c r="H64" s="18"/>
    </row>
    <row r="65" customFormat="false" ht="15" hidden="false" customHeight="false" outlineLevel="0" collapsed="false">
      <c r="A65" s="18"/>
      <c r="B65" s="18"/>
      <c r="C65" s="12"/>
      <c r="D65" s="18"/>
      <c r="E65" s="18"/>
      <c r="F65" s="18"/>
      <c r="G65" s="18"/>
      <c r="H65" s="18"/>
    </row>
    <row r="66" customFormat="false" ht="15" hidden="false" customHeight="false" outlineLevel="0" collapsed="false">
      <c r="A66" s="18"/>
      <c r="B66" s="18"/>
      <c r="C66" s="12"/>
      <c r="D66" s="18"/>
      <c r="E66" s="18"/>
      <c r="F66" s="18"/>
      <c r="G66" s="18"/>
      <c r="H66" s="18"/>
    </row>
    <row r="67" customFormat="false" ht="15" hidden="false" customHeight="false" outlineLevel="0" collapsed="false">
      <c r="A67" s="18"/>
      <c r="B67" s="18"/>
      <c r="C67" s="12"/>
      <c r="D67" s="18"/>
      <c r="E67" s="18"/>
      <c r="F67" s="18"/>
      <c r="G67" s="18"/>
      <c r="H67" s="18"/>
    </row>
    <row r="68" customFormat="false" ht="15" hidden="false" customHeight="false" outlineLevel="0" collapsed="false">
      <c r="A68" s="18"/>
      <c r="B68" s="18"/>
      <c r="C68" s="12"/>
      <c r="D68" s="18"/>
      <c r="E68" s="18"/>
      <c r="F68" s="18"/>
      <c r="G68" s="18"/>
      <c r="H68" s="18"/>
    </row>
    <row r="69" customFormat="false" ht="15" hidden="false" customHeight="false" outlineLevel="0" collapsed="false">
      <c r="A69" s="18"/>
      <c r="B69" s="18"/>
      <c r="C69" s="12"/>
      <c r="D69" s="18"/>
      <c r="E69" s="18"/>
      <c r="F69" s="18"/>
      <c r="G69" s="18"/>
      <c r="H69" s="18"/>
    </row>
    <row r="70" customFormat="false" ht="15" hidden="false" customHeight="false" outlineLevel="0" collapsed="false">
      <c r="A70" s="18"/>
      <c r="B70" s="18"/>
      <c r="C70" s="12"/>
      <c r="D70" s="18"/>
      <c r="E70" s="18"/>
      <c r="F70" s="18"/>
      <c r="G70" s="18"/>
      <c r="H70" s="18"/>
    </row>
    <row r="71" customFormat="false" ht="15" hidden="false" customHeight="false" outlineLevel="0" collapsed="false">
      <c r="A71" s="18"/>
      <c r="B71" s="18"/>
      <c r="C71" s="12"/>
      <c r="D71" s="18"/>
      <c r="E71" s="18"/>
      <c r="F71" s="18"/>
      <c r="G71" s="18"/>
      <c r="H71" s="18"/>
    </row>
    <row r="72" customFormat="false" ht="15" hidden="false" customHeight="false" outlineLevel="0" collapsed="false">
      <c r="A72" s="18"/>
      <c r="B72" s="18"/>
      <c r="C72" s="12"/>
      <c r="D72" s="18"/>
      <c r="E72" s="18"/>
      <c r="F72" s="18"/>
      <c r="G72" s="18"/>
      <c r="H72" s="18"/>
    </row>
    <row r="73" customFormat="false" ht="15" hidden="false" customHeight="false" outlineLevel="0" collapsed="false">
      <c r="A73" s="18"/>
      <c r="B73" s="18"/>
      <c r="C73" s="12"/>
      <c r="D73" s="18"/>
      <c r="E73" s="18"/>
      <c r="F73" s="18"/>
      <c r="G73" s="18"/>
      <c r="H73" s="18"/>
    </row>
    <row r="74" customFormat="false" ht="15" hidden="false" customHeight="false" outlineLevel="0" collapsed="false">
      <c r="A74" s="18"/>
      <c r="B74" s="18"/>
      <c r="C74" s="12"/>
      <c r="D74" s="18"/>
      <c r="E74" s="18"/>
      <c r="F74" s="18"/>
      <c r="G74" s="18"/>
      <c r="H74" s="18"/>
    </row>
    <row r="75" customFormat="false" ht="15" hidden="false" customHeight="false" outlineLevel="0" collapsed="false">
      <c r="A75" s="18"/>
      <c r="B75" s="18"/>
      <c r="C75" s="12"/>
      <c r="D75" s="18"/>
      <c r="E75" s="18"/>
      <c r="F75" s="18"/>
      <c r="G75" s="18"/>
      <c r="H75" s="18"/>
    </row>
    <row r="76" customFormat="false" ht="15" hidden="false" customHeight="false" outlineLevel="0" collapsed="false">
      <c r="A76" s="18"/>
      <c r="B76" s="18"/>
      <c r="C76" s="12"/>
      <c r="D76" s="18"/>
      <c r="E76" s="18"/>
      <c r="F76" s="18"/>
      <c r="G76" s="18"/>
      <c r="H76" s="18"/>
    </row>
    <row r="77" customFormat="false" ht="15" hidden="false" customHeight="false" outlineLevel="0" collapsed="false">
      <c r="A77" s="18"/>
      <c r="B77" s="18"/>
      <c r="C77" s="12"/>
      <c r="D77" s="18"/>
      <c r="E77" s="18"/>
      <c r="F77" s="18"/>
      <c r="G77" s="18"/>
      <c r="H77" s="18"/>
    </row>
    <row r="78" customFormat="false" ht="15" hidden="false" customHeight="false" outlineLevel="0" collapsed="false">
      <c r="A78" s="18"/>
      <c r="B78" s="18"/>
      <c r="C78" s="12"/>
      <c r="D78" s="18"/>
      <c r="E78" s="18"/>
      <c r="F78" s="18"/>
      <c r="G78" s="18"/>
      <c r="H78" s="18"/>
    </row>
    <row r="79" customFormat="false" ht="15" hidden="false" customHeight="false" outlineLevel="0" collapsed="false">
      <c r="A79" s="18"/>
      <c r="B79" s="18"/>
      <c r="C79" s="12"/>
      <c r="D79" s="18"/>
      <c r="E79" s="18"/>
      <c r="F79" s="18"/>
      <c r="G79" s="18"/>
      <c r="H79" s="18"/>
    </row>
    <row r="80" customFormat="false" ht="15" hidden="false" customHeight="false" outlineLevel="0" collapsed="false">
      <c r="A80" s="18"/>
      <c r="B80" s="18"/>
      <c r="C80" s="12"/>
      <c r="D80" s="18"/>
      <c r="E80" s="18"/>
      <c r="F80" s="18"/>
      <c r="G80" s="18"/>
      <c r="H80" s="18"/>
    </row>
    <row r="81" customFormat="false" ht="15" hidden="false" customHeight="false" outlineLevel="0" collapsed="false">
      <c r="A81" s="18"/>
      <c r="B81" s="18"/>
      <c r="C81" s="12"/>
      <c r="D81" s="18"/>
      <c r="E81" s="18"/>
      <c r="F81" s="18"/>
      <c r="G81" s="18"/>
      <c r="H81" s="18"/>
    </row>
    <row r="82" customFormat="false" ht="15" hidden="false" customHeight="false" outlineLevel="0" collapsed="false">
      <c r="A82" s="18"/>
      <c r="B82" s="18"/>
      <c r="C82" s="12"/>
      <c r="D82" s="18"/>
      <c r="E82" s="18"/>
      <c r="F82" s="18"/>
      <c r="G82" s="18"/>
      <c r="H82" s="18"/>
    </row>
    <row r="83" customFormat="false" ht="15" hidden="false" customHeight="false" outlineLevel="0" collapsed="false">
      <c r="A83" s="18"/>
      <c r="B83" s="18"/>
      <c r="C83" s="12"/>
      <c r="D83" s="18"/>
      <c r="E83" s="18"/>
      <c r="F83" s="18"/>
      <c r="G83" s="18"/>
      <c r="H83" s="18"/>
    </row>
    <row r="84" customFormat="false" ht="15" hidden="false" customHeight="false" outlineLevel="0" collapsed="false">
      <c r="A84" s="18"/>
      <c r="B84" s="18"/>
      <c r="C84" s="12"/>
      <c r="D84" s="18"/>
      <c r="E84" s="18"/>
      <c r="F84" s="18"/>
      <c r="G84" s="18"/>
      <c r="H84" s="18"/>
    </row>
    <row r="85" customFormat="false" ht="15" hidden="false" customHeight="false" outlineLevel="0" collapsed="false">
      <c r="A85" s="18"/>
      <c r="B85" s="18"/>
      <c r="C85" s="12"/>
      <c r="D85" s="18"/>
      <c r="E85" s="18"/>
      <c r="F85" s="18"/>
      <c r="G85" s="18"/>
      <c r="H85" s="18"/>
    </row>
    <row r="86" customFormat="false" ht="15" hidden="false" customHeight="false" outlineLevel="0" collapsed="false">
      <c r="A86" s="18"/>
      <c r="B86" s="18"/>
      <c r="C86" s="12"/>
      <c r="D86" s="18"/>
      <c r="E86" s="18"/>
      <c r="F86" s="18"/>
      <c r="G86" s="18"/>
      <c r="H86" s="18"/>
    </row>
    <row r="87" customFormat="false" ht="15" hidden="false" customHeight="false" outlineLevel="0" collapsed="false">
      <c r="A87" s="18"/>
      <c r="B87" s="18"/>
      <c r="C87" s="12"/>
      <c r="D87" s="18"/>
      <c r="E87" s="18"/>
      <c r="F87" s="18"/>
      <c r="G87" s="18"/>
      <c r="H87" s="18"/>
    </row>
    <row r="88" customFormat="false" ht="15" hidden="false" customHeight="false" outlineLevel="0" collapsed="false">
      <c r="A88" s="18"/>
      <c r="B88" s="18"/>
      <c r="C88" s="12"/>
      <c r="D88" s="18"/>
      <c r="E88" s="18"/>
      <c r="F88" s="18"/>
      <c r="G88" s="18"/>
      <c r="H88" s="18"/>
    </row>
    <row r="89" customFormat="false" ht="15" hidden="false" customHeight="false" outlineLevel="0" collapsed="false">
      <c r="A89" s="18"/>
      <c r="B89" s="18"/>
      <c r="C89" s="12"/>
      <c r="D89" s="18"/>
      <c r="E89" s="18"/>
      <c r="F89" s="18"/>
      <c r="G89" s="18"/>
      <c r="H89" s="18"/>
    </row>
    <row r="90" customFormat="false" ht="15" hidden="false" customHeight="false" outlineLevel="0" collapsed="false">
      <c r="A90" s="18"/>
      <c r="B90" s="18"/>
      <c r="C90" s="12"/>
      <c r="D90" s="18"/>
      <c r="E90" s="18"/>
      <c r="F90" s="18"/>
      <c r="G90" s="18"/>
      <c r="H90" s="18"/>
    </row>
  </sheetData>
  <dataValidations count="1">
    <dataValidation allowBlank="true" errorStyle="stop" operator="between" showDropDown="false" showErrorMessage="false" showInputMessage="false" sqref="C4:C90" type="list">
      <formula1>"E1,E2,E3,E4,E5,E6,E7,E8,E9"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50"/>
    <col collapsed="false" customWidth="true" hidden="false" outlineLevel="0" max="9" min="9" style="0" width="8"/>
    <col collapsed="false" customWidth="true" hidden="false" outlineLevel="0" max="10" min="10" style="0" width="20"/>
  </cols>
  <sheetData>
    <row r="1" customFormat="false" ht="20.1" hidden="false" customHeight="false" outlineLevel="0" collapsed="false">
      <c r="A1" s="1" t="s">
        <v>307</v>
      </c>
    </row>
    <row r="2" customFormat="false" ht="15" hidden="false" customHeight="false" outlineLevel="0" collapsed="false">
      <c r="A2" s="2" t="s">
        <v>308</v>
      </c>
    </row>
    <row r="3" customFormat="false" ht="30" hidden="false" customHeight="true" outlineLevel="0" collapsed="false">
      <c r="A3" s="8" t="s">
        <v>187</v>
      </c>
      <c r="B3" s="8" t="s">
        <v>164</v>
      </c>
      <c r="C3" s="8" t="s">
        <v>188</v>
      </c>
      <c r="D3" s="8" t="s">
        <v>161</v>
      </c>
      <c r="E3" s="9" t="s">
        <v>165</v>
      </c>
      <c r="F3" s="8" t="s">
        <v>309</v>
      </c>
      <c r="G3" s="8" t="s">
        <v>310</v>
      </c>
      <c r="H3" s="8" t="s">
        <v>311</v>
      </c>
      <c r="I3" s="8" t="s">
        <v>312</v>
      </c>
      <c r="J3" s="8" t="s">
        <v>60</v>
      </c>
    </row>
    <row r="4" customFormat="false" ht="29.85" hidden="false" customHeight="false" outlineLevel="0" collapsed="false">
      <c r="A4" s="11" t="s">
        <v>193</v>
      </c>
      <c r="B4" s="11" t="s">
        <v>180</v>
      </c>
      <c r="C4" s="11" t="s">
        <v>194</v>
      </c>
      <c r="D4" s="11" t="s">
        <v>177</v>
      </c>
      <c r="E4" s="10" t="n">
        <v>1</v>
      </c>
      <c r="F4" s="10" t="s">
        <v>313</v>
      </c>
      <c r="G4" s="11" t="n">
        <v>1</v>
      </c>
      <c r="H4" s="13" t="s">
        <v>314</v>
      </c>
      <c r="I4" s="11" t="s">
        <v>68</v>
      </c>
      <c r="J4" s="10" t="s">
        <v>69</v>
      </c>
    </row>
    <row r="5" customFormat="false" ht="15" hidden="false" customHeight="false" outlineLevel="0" collapsed="false">
      <c r="A5" s="18"/>
      <c r="B5" s="18"/>
      <c r="C5" s="12"/>
      <c r="D5" s="12"/>
      <c r="E5" s="18"/>
      <c r="F5" s="12"/>
      <c r="G5" s="12"/>
      <c r="H5" s="18"/>
      <c r="I5" s="18"/>
      <c r="J5" s="18"/>
    </row>
    <row r="6" customFormat="false" ht="15" hidden="false" customHeight="false" outlineLevel="0" collapsed="false">
      <c r="A6" s="18"/>
      <c r="B6" s="18"/>
      <c r="C6" s="12"/>
      <c r="D6" s="12"/>
      <c r="E6" s="18"/>
      <c r="F6" s="12"/>
      <c r="G6" s="12"/>
      <c r="H6" s="18"/>
      <c r="I6" s="18"/>
      <c r="J6" s="18"/>
    </row>
    <row r="7" customFormat="false" ht="15" hidden="false" customHeight="false" outlineLevel="0" collapsed="false">
      <c r="A7" s="18"/>
      <c r="B7" s="18"/>
      <c r="C7" s="12"/>
      <c r="D7" s="12"/>
      <c r="E7" s="18"/>
      <c r="F7" s="12"/>
      <c r="G7" s="12"/>
      <c r="H7" s="18"/>
      <c r="I7" s="18"/>
      <c r="J7" s="18"/>
    </row>
    <row r="8" customFormat="false" ht="15" hidden="false" customHeight="false" outlineLevel="0" collapsed="false">
      <c r="A8" s="18"/>
      <c r="B8" s="18"/>
      <c r="C8" s="12"/>
      <c r="D8" s="12"/>
      <c r="E8" s="18"/>
      <c r="F8" s="12"/>
      <c r="G8" s="12"/>
      <c r="H8" s="18"/>
      <c r="I8" s="18"/>
      <c r="J8" s="18"/>
    </row>
    <row r="9" customFormat="false" ht="15" hidden="false" customHeight="false" outlineLevel="0" collapsed="false">
      <c r="A9" s="18"/>
      <c r="B9" s="18"/>
      <c r="C9" s="12"/>
      <c r="D9" s="12"/>
      <c r="E9" s="18"/>
      <c r="F9" s="12"/>
      <c r="G9" s="12"/>
      <c r="H9" s="18"/>
      <c r="I9" s="18"/>
      <c r="J9" s="18"/>
    </row>
    <row r="10" customFormat="false" ht="15" hidden="false" customHeight="false" outlineLevel="0" collapsed="false">
      <c r="A10" s="18"/>
      <c r="B10" s="18"/>
      <c r="C10" s="12"/>
      <c r="D10" s="12"/>
      <c r="E10" s="18"/>
      <c r="F10" s="12"/>
      <c r="G10" s="12"/>
      <c r="H10" s="18"/>
      <c r="I10" s="18"/>
      <c r="J10" s="18"/>
    </row>
    <row r="11" customFormat="false" ht="15" hidden="false" customHeight="false" outlineLevel="0" collapsed="false">
      <c r="A11" s="18"/>
      <c r="B11" s="18"/>
      <c r="C11" s="12"/>
      <c r="D11" s="12"/>
      <c r="E11" s="18"/>
      <c r="F11" s="12"/>
      <c r="G11" s="12"/>
      <c r="H11" s="18"/>
      <c r="I11" s="18"/>
      <c r="J11" s="18"/>
    </row>
    <row r="12" customFormat="false" ht="15" hidden="false" customHeight="false" outlineLevel="0" collapsed="false">
      <c r="A12" s="18"/>
      <c r="B12" s="18"/>
      <c r="C12" s="12"/>
      <c r="D12" s="12"/>
      <c r="E12" s="18"/>
      <c r="F12" s="12"/>
      <c r="G12" s="12"/>
      <c r="H12" s="18"/>
      <c r="I12" s="18"/>
      <c r="J12" s="18"/>
    </row>
    <row r="13" customFormat="false" ht="15" hidden="false" customHeight="false" outlineLevel="0" collapsed="false">
      <c r="A13" s="18"/>
      <c r="B13" s="18"/>
      <c r="C13" s="12"/>
      <c r="D13" s="12"/>
      <c r="E13" s="18"/>
      <c r="F13" s="12"/>
      <c r="G13" s="12"/>
      <c r="H13" s="18"/>
      <c r="I13" s="18"/>
      <c r="J13" s="18"/>
    </row>
    <row r="14" customFormat="false" ht="15" hidden="false" customHeight="false" outlineLevel="0" collapsed="false">
      <c r="A14" s="18"/>
      <c r="B14" s="18"/>
      <c r="C14" s="12"/>
      <c r="D14" s="12"/>
      <c r="E14" s="18"/>
      <c r="F14" s="12"/>
      <c r="G14" s="12"/>
      <c r="H14" s="18"/>
      <c r="I14" s="18"/>
      <c r="J14" s="18"/>
    </row>
    <row r="15" customFormat="false" ht="15" hidden="false" customHeight="false" outlineLevel="0" collapsed="false">
      <c r="A15" s="18"/>
      <c r="B15" s="18"/>
      <c r="C15" s="12"/>
      <c r="D15" s="12"/>
      <c r="E15" s="18"/>
      <c r="F15" s="12"/>
      <c r="G15" s="12"/>
      <c r="H15" s="18"/>
      <c r="I15" s="18"/>
      <c r="J15" s="18"/>
    </row>
    <row r="16" customFormat="false" ht="15" hidden="false" customHeight="false" outlineLevel="0" collapsed="false">
      <c r="A16" s="18"/>
      <c r="B16" s="18"/>
      <c r="C16" s="12"/>
      <c r="D16" s="12"/>
      <c r="E16" s="18"/>
      <c r="F16" s="12"/>
      <c r="G16" s="12"/>
      <c r="H16" s="18"/>
      <c r="I16" s="18"/>
      <c r="J16" s="18"/>
    </row>
    <row r="17" customFormat="false" ht="15" hidden="false" customHeight="false" outlineLevel="0" collapsed="false">
      <c r="A17" s="18"/>
      <c r="B17" s="18"/>
      <c r="C17" s="12"/>
      <c r="D17" s="12"/>
      <c r="E17" s="18"/>
      <c r="F17" s="12"/>
      <c r="G17" s="12"/>
      <c r="H17" s="18"/>
      <c r="I17" s="18"/>
      <c r="J17" s="18"/>
    </row>
    <row r="18" customFormat="false" ht="15" hidden="false" customHeight="false" outlineLevel="0" collapsed="false">
      <c r="A18" s="18"/>
      <c r="B18" s="18"/>
      <c r="C18" s="12"/>
      <c r="D18" s="12"/>
      <c r="E18" s="18"/>
      <c r="F18" s="12"/>
      <c r="G18" s="12"/>
      <c r="H18" s="18"/>
      <c r="I18" s="18"/>
      <c r="J18" s="18"/>
    </row>
    <row r="19" customFormat="false" ht="15" hidden="false" customHeight="false" outlineLevel="0" collapsed="false">
      <c r="A19" s="18"/>
      <c r="B19" s="18"/>
      <c r="C19" s="12"/>
      <c r="D19" s="12"/>
      <c r="E19" s="18"/>
      <c r="F19" s="12"/>
      <c r="G19" s="12"/>
      <c r="H19" s="18"/>
      <c r="I19" s="18"/>
      <c r="J19" s="18"/>
    </row>
    <row r="20" customFormat="false" ht="15" hidden="false" customHeight="false" outlineLevel="0" collapsed="false">
      <c r="A20" s="18"/>
      <c r="B20" s="18"/>
      <c r="C20" s="12"/>
      <c r="D20" s="12"/>
      <c r="E20" s="18"/>
      <c r="F20" s="12"/>
      <c r="G20" s="12"/>
      <c r="H20" s="18"/>
      <c r="I20" s="18"/>
      <c r="J20" s="18"/>
    </row>
    <row r="21" customFormat="false" ht="15" hidden="false" customHeight="false" outlineLevel="0" collapsed="false">
      <c r="A21" s="18"/>
      <c r="B21" s="18"/>
      <c r="C21" s="12"/>
      <c r="D21" s="12"/>
      <c r="E21" s="18"/>
      <c r="F21" s="12"/>
      <c r="G21" s="12"/>
      <c r="H21" s="18"/>
      <c r="I21" s="18"/>
      <c r="J21" s="18"/>
    </row>
    <row r="22" customFormat="false" ht="15" hidden="false" customHeight="false" outlineLevel="0" collapsed="false">
      <c r="A22" s="18"/>
      <c r="B22" s="18"/>
      <c r="C22" s="12"/>
      <c r="D22" s="12"/>
      <c r="E22" s="18"/>
      <c r="F22" s="12"/>
      <c r="G22" s="12"/>
      <c r="H22" s="18"/>
      <c r="I22" s="18"/>
      <c r="J22" s="18"/>
    </row>
    <row r="23" customFormat="false" ht="15" hidden="false" customHeight="false" outlineLevel="0" collapsed="false">
      <c r="A23" s="18"/>
      <c r="B23" s="18"/>
      <c r="C23" s="12"/>
      <c r="D23" s="12"/>
      <c r="E23" s="18"/>
      <c r="F23" s="12"/>
      <c r="G23" s="12"/>
      <c r="H23" s="18"/>
      <c r="I23" s="18"/>
      <c r="J23" s="18"/>
    </row>
    <row r="24" customFormat="false" ht="15" hidden="false" customHeight="false" outlineLevel="0" collapsed="false">
      <c r="A24" s="18"/>
      <c r="B24" s="18"/>
      <c r="C24" s="12"/>
      <c r="D24" s="12"/>
      <c r="E24" s="18"/>
      <c r="F24" s="12"/>
      <c r="G24" s="12"/>
      <c r="H24" s="18"/>
      <c r="I24" s="18"/>
      <c r="J24" s="18"/>
    </row>
    <row r="25" customFormat="false" ht="15" hidden="false" customHeight="false" outlineLevel="0" collapsed="false">
      <c r="A25" s="18"/>
      <c r="B25" s="18"/>
      <c r="C25" s="12"/>
      <c r="D25" s="12"/>
      <c r="E25" s="18"/>
      <c r="F25" s="12"/>
      <c r="G25" s="12"/>
      <c r="H25" s="18"/>
      <c r="I25" s="18"/>
      <c r="J25" s="18"/>
    </row>
    <row r="26" customFormat="false" ht="15" hidden="false" customHeight="false" outlineLevel="0" collapsed="false">
      <c r="A26" s="18"/>
      <c r="B26" s="18"/>
      <c r="C26" s="12"/>
      <c r="D26" s="12"/>
      <c r="E26" s="18"/>
      <c r="F26" s="12"/>
      <c r="G26" s="12"/>
      <c r="H26" s="18"/>
      <c r="I26" s="18"/>
      <c r="J26" s="18"/>
    </row>
    <row r="27" customFormat="false" ht="15" hidden="false" customHeight="false" outlineLevel="0" collapsed="false">
      <c r="A27" s="18"/>
      <c r="B27" s="18"/>
      <c r="C27" s="12"/>
      <c r="D27" s="12"/>
      <c r="E27" s="18"/>
      <c r="F27" s="12"/>
      <c r="G27" s="12"/>
      <c r="H27" s="18"/>
      <c r="I27" s="18"/>
      <c r="J27" s="18"/>
    </row>
    <row r="28" customFormat="false" ht="15" hidden="false" customHeight="false" outlineLevel="0" collapsed="false">
      <c r="A28" s="18"/>
      <c r="B28" s="18"/>
      <c r="C28" s="12"/>
      <c r="D28" s="12"/>
      <c r="E28" s="18"/>
      <c r="F28" s="12"/>
      <c r="G28" s="12"/>
      <c r="H28" s="18"/>
      <c r="I28" s="18"/>
      <c r="J28" s="18"/>
    </row>
    <row r="29" customFormat="false" ht="15" hidden="false" customHeight="false" outlineLevel="0" collapsed="false">
      <c r="A29" s="18"/>
      <c r="B29" s="18"/>
      <c r="C29" s="12"/>
      <c r="D29" s="12"/>
      <c r="E29" s="18"/>
      <c r="F29" s="12"/>
      <c r="G29" s="12"/>
      <c r="H29" s="18"/>
      <c r="I29" s="18"/>
      <c r="J29" s="18"/>
    </row>
    <row r="30" customFormat="false" ht="15" hidden="false" customHeight="false" outlineLevel="0" collapsed="false">
      <c r="A30" s="18"/>
      <c r="B30" s="18"/>
      <c r="C30" s="12"/>
      <c r="D30" s="12"/>
      <c r="E30" s="18"/>
      <c r="F30" s="12"/>
      <c r="G30" s="12"/>
      <c r="H30" s="18"/>
      <c r="I30" s="18"/>
      <c r="J30" s="18"/>
    </row>
    <row r="31" customFormat="false" ht="15" hidden="false" customHeight="false" outlineLevel="0" collapsed="false">
      <c r="A31" s="18"/>
      <c r="B31" s="18"/>
      <c r="C31" s="12"/>
      <c r="D31" s="12"/>
      <c r="E31" s="18"/>
      <c r="F31" s="12"/>
      <c r="G31" s="12"/>
      <c r="H31" s="18"/>
      <c r="I31" s="18"/>
      <c r="J31" s="18"/>
    </row>
    <row r="32" customFormat="false" ht="15" hidden="false" customHeight="false" outlineLevel="0" collapsed="false">
      <c r="A32" s="18"/>
      <c r="B32" s="18"/>
      <c r="C32" s="12"/>
      <c r="D32" s="12"/>
      <c r="E32" s="18"/>
      <c r="F32" s="12"/>
      <c r="G32" s="12"/>
      <c r="H32" s="18"/>
      <c r="I32" s="18"/>
      <c r="J32" s="18"/>
    </row>
    <row r="33" customFormat="false" ht="15" hidden="false" customHeight="false" outlineLevel="0" collapsed="false">
      <c r="A33" s="18"/>
      <c r="B33" s="18"/>
      <c r="C33" s="12"/>
      <c r="D33" s="12"/>
      <c r="E33" s="18"/>
      <c r="F33" s="12"/>
      <c r="G33" s="12"/>
      <c r="H33" s="18"/>
      <c r="I33" s="18"/>
      <c r="J33" s="18"/>
    </row>
    <row r="34" customFormat="false" ht="15" hidden="false" customHeight="false" outlineLevel="0" collapsed="false">
      <c r="A34" s="18"/>
      <c r="B34" s="18"/>
      <c r="C34" s="12"/>
      <c r="D34" s="12"/>
      <c r="E34" s="18"/>
      <c r="F34" s="12"/>
      <c r="G34" s="12"/>
      <c r="H34" s="18"/>
      <c r="I34" s="18"/>
      <c r="J34" s="18"/>
    </row>
    <row r="35" customFormat="false" ht="15" hidden="false" customHeight="false" outlineLevel="0" collapsed="false">
      <c r="A35" s="18"/>
      <c r="B35" s="18"/>
      <c r="C35" s="12"/>
      <c r="D35" s="12"/>
      <c r="E35" s="18"/>
      <c r="F35" s="12"/>
      <c r="G35" s="12"/>
      <c r="H35" s="18"/>
      <c r="I35" s="18"/>
      <c r="J35" s="18"/>
    </row>
    <row r="36" customFormat="false" ht="15" hidden="false" customHeight="false" outlineLevel="0" collapsed="false">
      <c r="A36" s="18"/>
      <c r="B36" s="18"/>
      <c r="C36" s="12"/>
      <c r="D36" s="12"/>
      <c r="E36" s="18"/>
      <c r="F36" s="12"/>
      <c r="G36" s="12"/>
      <c r="H36" s="18"/>
      <c r="I36" s="18"/>
      <c r="J36" s="18"/>
    </row>
    <row r="37" customFormat="false" ht="15" hidden="false" customHeight="false" outlineLevel="0" collapsed="false">
      <c r="A37" s="18"/>
      <c r="B37" s="18"/>
      <c r="C37" s="12"/>
      <c r="D37" s="12"/>
      <c r="E37" s="18"/>
      <c r="F37" s="12"/>
      <c r="G37" s="12"/>
      <c r="H37" s="18"/>
      <c r="I37" s="18"/>
      <c r="J37" s="18"/>
    </row>
    <row r="38" customFormat="false" ht="15" hidden="false" customHeight="false" outlineLevel="0" collapsed="false">
      <c r="A38" s="18"/>
      <c r="B38" s="18"/>
      <c r="C38" s="12"/>
      <c r="D38" s="12"/>
      <c r="E38" s="18"/>
      <c r="F38" s="12"/>
      <c r="G38" s="12"/>
      <c r="H38" s="18"/>
      <c r="I38" s="18"/>
      <c r="J38" s="18"/>
    </row>
    <row r="39" customFormat="false" ht="15" hidden="false" customHeight="false" outlineLevel="0" collapsed="false">
      <c r="A39" s="18"/>
      <c r="B39" s="18"/>
      <c r="C39" s="12"/>
      <c r="D39" s="12"/>
      <c r="E39" s="18"/>
      <c r="F39" s="12"/>
      <c r="G39" s="12"/>
      <c r="H39" s="18"/>
      <c r="I39" s="18"/>
      <c r="J39" s="18"/>
    </row>
    <row r="40" customFormat="false" ht="15" hidden="false" customHeight="false" outlineLevel="0" collapsed="false">
      <c r="A40" s="18"/>
      <c r="B40" s="18"/>
      <c r="C40" s="12"/>
      <c r="D40" s="12"/>
      <c r="E40" s="18"/>
      <c r="F40" s="12"/>
      <c r="G40" s="12"/>
      <c r="H40" s="18"/>
      <c r="I40" s="18"/>
      <c r="J40" s="18"/>
    </row>
    <row r="41" customFormat="false" ht="15" hidden="false" customHeight="false" outlineLevel="0" collapsed="false">
      <c r="A41" s="18"/>
      <c r="B41" s="18"/>
      <c r="C41" s="12"/>
      <c r="D41" s="12"/>
      <c r="E41" s="18"/>
      <c r="F41" s="12"/>
      <c r="G41" s="12"/>
      <c r="H41" s="18"/>
      <c r="I41" s="18"/>
      <c r="J41" s="18"/>
    </row>
    <row r="42" customFormat="false" ht="15" hidden="false" customHeight="false" outlineLevel="0" collapsed="false">
      <c r="A42" s="18"/>
      <c r="B42" s="18"/>
      <c r="C42" s="12"/>
      <c r="D42" s="12"/>
      <c r="E42" s="18"/>
      <c r="F42" s="12"/>
      <c r="G42" s="12"/>
      <c r="H42" s="18"/>
      <c r="I42" s="18"/>
      <c r="J42" s="18"/>
    </row>
    <row r="43" customFormat="false" ht="15" hidden="false" customHeight="false" outlineLevel="0" collapsed="false">
      <c r="A43" s="18"/>
      <c r="B43" s="18"/>
      <c r="C43" s="12"/>
      <c r="D43" s="12"/>
      <c r="E43" s="18"/>
      <c r="F43" s="12"/>
      <c r="G43" s="12"/>
      <c r="H43" s="18"/>
      <c r="I43" s="18"/>
      <c r="J43" s="18"/>
    </row>
    <row r="44" customFormat="false" ht="15" hidden="false" customHeight="false" outlineLevel="0" collapsed="false">
      <c r="A44" s="18"/>
      <c r="B44" s="18"/>
      <c r="C44" s="12"/>
      <c r="D44" s="12"/>
      <c r="E44" s="18"/>
      <c r="F44" s="12"/>
      <c r="G44" s="12"/>
      <c r="H44" s="18"/>
      <c r="I44" s="18"/>
      <c r="J44" s="18"/>
    </row>
    <row r="45" customFormat="false" ht="15" hidden="false" customHeight="false" outlineLevel="0" collapsed="false">
      <c r="A45" s="18"/>
      <c r="B45" s="18"/>
      <c r="C45" s="12"/>
      <c r="D45" s="12"/>
      <c r="E45" s="18"/>
      <c r="F45" s="12"/>
      <c r="G45" s="12"/>
      <c r="H45" s="18"/>
      <c r="I45" s="18"/>
      <c r="J45" s="18"/>
    </row>
    <row r="46" customFormat="false" ht="15" hidden="false" customHeight="false" outlineLevel="0" collapsed="false">
      <c r="A46" s="18"/>
      <c r="B46" s="18"/>
      <c r="C46" s="12"/>
      <c r="D46" s="12"/>
      <c r="E46" s="18"/>
      <c r="F46" s="12"/>
      <c r="G46" s="12"/>
      <c r="H46" s="18"/>
      <c r="I46" s="18"/>
      <c r="J46" s="18"/>
    </row>
    <row r="47" customFormat="false" ht="15" hidden="false" customHeight="false" outlineLevel="0" collapsed="false">
      <c r="A47" s="18"/>
      <c r="B47" s="18"/>
      <c r="C47" s="12"/>
      <c r="D47" s="12"/>
      <c r="E47" s="18"/>
      <c r="F47" s="12"/>
      <c r="G47" s="12"/>
      <c r="H47" s="18"/>
      <c r="I47" s="18"/>
      <c r="J47" s="18"/>
    </row>
    <row r="48" customFormat="false" ht="15" hidden="false" customHeight="false" outlineLevel="0" collapsed="false">
      <c r="A48" s="18"/>
      <c r="B48" s="18"/>
      <c r="C48" s="12"/>
      <c r="D48" s="12"/>
      <c r="E48" s="18"/>
      <c r="F48" s="12"/>
      <c r="G48" s="12"/>
      <c r="H48" s="18"/>
      <c r="I48" s="18"/>
      <c r="J48" s="18"/>
    </row>
    <row r="49" customFormat="false" ht="15" hidden="false" customHeight="false" outlineLevel="0" collapsed="false">
      <c r="A49" s="18"/>
      <c r="B49" s="18"/>
      <c r="C49" s="12"/>
      <c r="D49" s="12"/>
      <c r="E49" s="18"/>
      <c r="F49" s="12"/>
      <c r="G49" s="12"/>
      <c r="H49" s="18"/>
      <c r="I49" s="18"/>
      <c r="J49" s="18"/>
    </row>
    <row r="50" customFormat="false" ht="15" hidden="false" customHeight="false" outlineLevel="0" collapsed="false">
      <c r="A50" s="18"/>
      <c r="B50" s="18"/>
      <c r="C50" s="12"/>
      <c r="D50" s="12"/>
      <c r="E50" s="18"/>
      <c r="F50" s="12"/>
      <c r="G50" s="12"/>
      <c r="H50" s="18"/>
      <c r="I50" s="18"/>
      <c r="J50" s="18"/>
    </row>
    <row r="51" customFormat="false" ht="15" hidden="false" customHeight="false" outlineLevel="0" collapsed="false">
      <c r="A51" s="18"/>
      <c r="B51" s="18"/>
      <c r="C51" s="12"/>
      <c r="D51" s="12"/>
      <c r="E51" s="18"/>
      <c r="F51" s="12"/>
      <c r="G51" s="12"/>
      <c r="H51" s="18"/>
      <c r="I51" s="18"/>
      <c r="J51" s="18"/>
    </row>
    <row r="52" customFormat="false" ht="15" hidden="false" customHeight="false" outlineLevel="0" collapsed="false">
      <c r="A52" s="18"/>
      <c r="B52" s="18"/>
      <c r="C52" s="12"/>
      <c r="D52" s="12"/>
      <c r="E52" s="18"/>
      <c r="F52" s="12"/>
      <c r="G52" s="12"/>
      <c r="H52" s="18"/>
      <c r="I52" s="18"/>
      <c r="J52" s="18"/>
    </row>
    <row r="53" customFormat="false" ht="15" hidden="false" customHeight="false" outlineLevel="0" collapsed="false">
      <c r="A53" s="18"/>
      <c r="B53" s="18"/>
      <c r="C53" s="12"/>
      <c r="D53" s="12"/>
      <c r="E53" s="18"/>
      <c r="F53" s="12"/>
      <c r="G53" s="12"/>
      <c r="H53" s="18"/>
      <c r="I53" s="18"/>
      <c r="J53" s="18"/>
    </row>
    <row r="54" customFormat="false" ht="15" hidden="false" customHeight="false" outlineLevel="0" collapsed="false">
      <c r="A54" s="18"/>
      <c r="B54" s="18"/>
      <c r="C54" s="12"/>
      <c r="D54" s="12"/>
      <c r="E54" s="18"/>
      <c r="F54" s="12"/>
      <c r="G54" s="12"/>
      <c r="H54" s="18"/>
      <c r="I54" s="18"/>
      <c r="J54" s="18"/>
    </row>
    <row r="55" customFormat="false" ht="15" hidden="false" customHeight="false" outlineLevel="0" collapsed="false">
      <c r="A55" s="18"/>
      <c r="B55" s="18"/>
      <c r="C55" s="12"/>
      <c r="D55" s="12"/>
      <c r="E55" s="18"/>
      <c r="F55" s="12"/>
      <c r="G55" s="12"/>
      <c r="H55" s="18"/>
      <c r="I55" s="18"/>
      <c r="J55" s="18"/>
    </row>
    <row r="56" customFormat="false" ht="15" hidden="false" customHeight="false" outlineLevel="0" collapsed="false">
      <c r="A56" s="18"/>
      <c r="B56" s="18"/>
      <c r="C56" s="12"/>
      <c r="D56" s="12"/>
      <c r="E56" s="18"/>
      <c r="F56" s="12"/>
      <c r="G56" s="12"/>
      <c r="H56" s="18"/>
      <c r="I56" s="18"/>
      <c r="J56" s="18"/>
    </row>
    <row r="57" customFormat="false" ht="15" hidden="false" customHeight="false" outlineLevel="0" collapsed="false">
      <c r="A57" s="18"/>
      <c r="B57" s="18"/>
      <c r="C57" s="12"/>
      <c r="D57" s="12"/>
      <c r="E57" s="18"/>
      <c r="F57" s="12"/>
      <c r="G57" s="12"/>
      <c r="H57" s="18"/>
      <c r="I57" s="18"/>
      <c r="J57" s="18"/>
    </row>
    <row r="58" customFormat="false" ht="15" hidden="false" customHeight="false" outlineLevel="0" collapsed="false">
      <c r="A58" s="18"/>
      <c r="B58" s="18"/>
      <c r="C58" s="12"/>
      <c r="D58" s="12"/>
      <c r="E58" s="18"/>
      <c r="F58" s="12"/>
      <c r="G58" s="12"/>
      <c r="H58" s="18"/>
      <c r="I58" s="18"/>
      <c r="J58" s="18"/>
    </row>
    <row r="59" customFormat="false" ht="15" hidden="false" customHeight="false" outlineLevel="0" collapsed="false">
      <c r="A59" s="18"/>
      <c r="B59" s="18"/>
      <c r="C59" s="12"/>
      <c r="D59" s="12"/>
      <c r="E59" s="18"/>
      <c r="F59" s="12"/>
      <c r="G59" s="12"/>
      <c r="H59" s="18"/>
      <c r="I59" s="18"/>
      <c r="J59" s="18"/>
    </row>
    <row r="60" customFormat="false" ht="15" hidden="false" customHeight="false" outlineLevel="0" collapsed="false">
      <c r="A60" s="18"/>
      <c r="B60" s="18"/>
      <c r="C60" s="12"/>
      <c r="D60" s="12"/>
      <c r="E60" s="18"/>
      <c r="F60" s="12"/>
      <c r="G60" s="12"/>
      <c r="H60" s="18"/>
      <c r="I60" s="18"/>
      <c r="J60" s="18"/>
    </row>
    <row r="61" customFormat="false" ht="15" hidden="false" customHeight="false" outlineLevel="0" collapsed="false">
      <c r="A61" s="18"/>
      <c r="B61" s="18"/>
      <c r="C61" s="12"/>
      <c r="D61" s="12"/>
      <c r="E61" s="18"/>
      <c r="F61" s="12"/>
      <c r="G61" s="12"/>
      <c r="H61" s="18"/>
      <c r="I61" s="18"/>
      <c r="J61" s="18"/>
    </row>
    <row r="62" customFormat="false" ht="15" hidden="false" customHeight="false" outlineLevel="0" collapsed="false">
      <c r="A62" s="18"/>
      <c r="B62" s="18"/>
      <c r="C62" s="12"/>
      <c r="D62" s="12"/>
      <c r="E62" s="18"/>
      <c r="F62" s="12"/>
      <c r="G62" s="12"/>
      <c r="H62" s="18"/>
      <c r="I62" s="18"/>
      <c r="J62" s="18"/>
    </row>
    <row r="63" customFormat="false" ht="15" hidden="false" customHeight="false" outlineLevel="0" collapsed="false">
      <c r="A63" s="18"/>
      <c r="B63" s="18"/>
      <c r="C63" s="12"/>
      <c r="D63" s="12"/>
      <c r="E63" s="18"/>
      <c r="F63" s="12"/>
      <c r="G63" s="12"/>
      <c r="H63" s="18"/>
      <c r="I63" s="18"/>
      <c r="J63" s="18"/>
    </row>
    <row r="64" customFormat="false" ht="15" hidden="false" customHeight="false" outlineLevel="0" collapsed="false">
      <c r="A64" s="18"/>
      <c r="B64" s="18"/>
      <c r="C64" s="12"/>
      <c r="D64" s="12"/>
      <c r="E64" s="18"/>
      <c r="F64" s="12"/>
      <c r="G64" s="12"/>
      <c r="H64" s="18"/>
      <c r="I64" s="18"/>
      <c r="J64" s="18"/>
    </row>
    <row r="65" customFormat="false" ht="15" hidden="false" customHeight="false" outlineLevel="0" collapsed="false">
      <c r="A65" s="18"/>
      <c r="B65" s="18"/>
      <c r="C65" s="12"/>
      <c r="D65" s="12"/>
      <c r="E65" s="18"/>
      <c r="F65" s="12"/>
      <c r="G65" s="12"/>
      <c r="H65" s="18"/>
      <c r="I65" s="18"/>
      <c r="J65" s="18"/>
    </row>
    <row r="66" customFormat="false" ht="15" hidden="false" customHeight="false" outlineLevel="0" collapsed="false">
      <c r="A66" s="18"/>
      <c r="B66" s="18"/>
      <c r="C66" s="12"/>
      <c r="D66" s="12"/>
      <c r="E66" s="18"/>
      <c r="F66" s="12"/>
      <c r="G66" s="12"/>
      <c r="H66" s="18"/>
      <c r="I66" s="18"/>
      <c r="J66" s="18"/>
    </row>
    <row r="67" customFormat="false" ht="15" hidden="false" customHeight="false" outlineLevel="0" collapsed="false">
      <c r="A67" s="18"/>
      <c r="B67" s="18"/>
      <c r="C67" s="12"/>
      <c r="D67" s="12"/>
      <c r="E67" s="18"/>
      <c r="F67" s="12"/>
      <c r="G67" s="12"/>
      <c r="H67" s="18"/>
      <c r="I67" s="18"/>
      <c r="J67" s="18"/>
    </row>
    <row r="68" customFormat="false" ht="15" hidden="false" customHeight="false" outlineLevel="0" collapsed="false">
      <c r="A68" s="18"/>
      <c r="B68" s="18"/>
      <c r="C68" s="12"/>
      <c r="D68" s="12"/>
      <c r="E68" s="18"/>
      <c r="F68" s="12"/>
      <c r="G68" s="12"/>
      <c r="H68" s="18"/>
      <c r="I68" s="18"/>
      <c r="J68" s="18"/>
    </row>
    <row r="69" customFormat="false" ht="15" hidden="false" customHeight="false" outlineLevel="0" collapsed="false">
      <c r="A69" s="18"/>
      <c r="B69" s="18"/>
      <c r="C69" s="12"/>
      <c r="D69" s="12"/>
      <c r="E69" s="18"/>
      <c r="F69" s="12"/>
      <c r="G69" s="12"/>
      <c r="H69" s="18"/>
      <c r="I69" s="18"/>
      <c r="J69" s="18"/>
    </row>
    <row r="70" customFormat="false" ht="15" hidden="false" customHeight="false" outlineLevel="0" collapsed="false">
      <c r="A70" s="18"/>
      <c r="B70" s="18"/>
      <c r="C70" s="12"/>
      <c r="D70" s="12"/>
      <c r="E70" s="18"/>
      <c r="F70" s="12"/>
      <c r="G70" s="12"/>
      <c r="H70" s="18"/>
      <c r="I70" s="18"/>
      <c r="J70" s="18"/>
    </row>
    <row r="71" customFormat="false" ht="15" hidden="false" customHeight="false" outlineLevel="0" collapsed="false">
      <c r="A71" s="18"/>
      <c r="B71" s="18"/>
      <c r="C71" s="12"/>
      <c r="D71" s="12"/>
      <c r="E71" s="18"/>
      <c r="F71" s="12"/>
      <c r="G71" s="12"/>
      <c r="H71" s="18"/>
      <c r="I71" s="18"/>
      <c r="J71" s="18"/>
    </row>
    <row r="72" customFormat="false" ht="15" hidden="false" customHeight="false" outlineLevel="0" collapsed="false">
      <c r="A72" s="18"/>
      <c r="B72" s="18"/>
      <c r="C72" s="12"/>
      <c r="D72" s="12"/>
      <c r="E72" s="18"/>
      <c r="F72" s="12"/>
      <c r="G72" s="12"/>
      <c r="H72" s="18"/>
      <c r="I72" s="18"/>
      <c r="J72" s="18"/>
    </row>
    <row r="73" customFormat="false" ht="15" hidden="false" customHeight="false" outlineLevel="0" collapsed="false">
      <c r="A73" s="18"/>
      <c r="B73" s="18"/>
      <c r="C73" s="12"/>
      <c r="D73" s="12"/>
      <c r="E73" s="18"/>
      <c r="F73" s="12"/>
      <c r="G73" s="12"/>
      <c r="H73" s="18"/>
      <c r="I73" s="18"/>
      <c r="J73" s="18"/>
    </row>
    <row r="74" customFormat="false" ht="15" hidden="false" customHeight="false" outlineLevel="0" collapsed="false">
      <c r="A74" s="18"/>
      <c r="B74" s="18"/>
      <c r="C74" s="12"/>
      <c r="D74" s="12"/>
      <c r="E74" s="18"/>
      <c r="F74" s="12"/>
      <c r="G74" s="12"/>
      <c r="H74" s="18"/>
      <c r="I74" s="18"/>
      <c r="J74" s="18"/>
    </row>
    <row r="75" customFormat="false" ht="15" hidden="false" customHeight="false" outlineLevel="0" collapsed="false">
      <c r="A75" s="18"/>
      <c r="B75" s="18"/>
      <c r="C75" s="12"/>
      <c r="D75" s="12"/>
      <c r="E75" s="18"/>
      <c r="F75" s="12"/>
      <c r="G75" s="12"/>
      <c r="H75" s="18"/>
      <c r="I75" s="18"/>
      <c r="J75" s="18"/>
    </row>
    <row r="76" customFormat="false" ht="15" hidden="false" customHeight="false" outlineLevel="0" collapsed="false">
      <c r="A76" s="18"/>
      <c r="B76" s="18"/>
      <c r="C76" s="12"/>
      <c r="D76" s="12"/>
      <c r="E76" s="18"/>
      <c r="F76" s="12"/>
      <c r="G76" s="12"/>
      <c r="H76" s="18"/>
      <c r="I76" s="18"/>
      <c r="J76" s="18"/>
    </row>
    <row r="77" customFormat="false" ht="15" hidden="false" customHeight="false" outlineLevel="0" collapsed="false">
      <c r="A77" s="18"/>
      <c r="B77" s="18"/>
      <c r="C77" s="12"/>
      <c r="D77" s="12"/>
      <c r="E77" s="18"/>
      <c r="F77" s="12"/>
      <c r="G77" s="12"/>
      <c r="H77" s="18"/>
      <c r="I77" s="18"/>
      <c r="J77" s="18"/>
    </row>
    <row r="78" customFormat="false" ht="15" hidden="false" customHeight="false" outlineLevel="0" collapsed="false">
      <c r="A78" s="18"/>
      <c r="B78" s="18"/>
      <c r="C78" s="12"/>
      <c r="D78" s="12"/>
      <c r="E78" s="18"/>
      <c r="F78" s="12"/>
      <c r="G78" s="12"/>
      <c r="H78" s="18"/>
      <c r="I78" s="18"/>
      <c r="J78" s="18"/>
    </row>
    <row r="79" customFormat="false" ht="15" hidden="false" customHeight="false" outlineLevel="0" collapsed="false">
      <c r="A79" s="18"/>
      <c r="B79" s="18"/>
      <c r="C79" s="12"/>
      <c r="D79" s="12"/>
      <c r="E79" s="18"/>
      <c r="F79" s="12"/>
      <c r="G79" s="12"/>
      <c r="H79" s="18"/>
      <c r="I79" s="18"/>
      <c r="J79" s="18"/>
    </row>
    <row r="80" customFormat="false" ht="15" hidden="false" customHeight="false" outlineLevel="0" collapsed="false">
      <c r="A80" s="18"/>
      <c r="B80" s="18"/>
      <c r="C80" s="12"/>
      <c r="D80" s="12"/>
      <c r="E80" s="18"/>
      <c r="F80" s="12"/>
      <c r="G80" s="12"/>
      <c r="H80" s="18"/>
      <c r="I80" s="18"/>
      <c r="J80" s="18"/>
    </row>
    <row r="81" customFormat="false" ht="15" hidden="false" customHeight="false" outlineLevel="0" collapsed="false">
      <c r="A81" s="18"/>
      <c r="B81" s="18"/>
      <c r="C81" s="12"/>
      <c r="D81" s="12"/>
      <c r="E81" s="18"/>
      <c r="F81" s="12"/>
      <c r="G81" s="12"/>
      <c r="H81" s="18"/>
      <c r="I81" s="18"/>
      <c r="J81" s="18"/>
    </row>
    <row r="82" customFormat="false" ht="15" hidden="false" customHeight="false" outlineLevel="0" collapsed="false">
      <c r="A82" s="18"/>
      <c r="B82" s="18"/>
      <c r="C82" s="12"/>
      <c r="D82" s="12"/>
      <c r="E82" s="18"/>
      <c r="F82" s="12"/>
      <c r="G82" s="12"/>
      <c r="H82" s="18"/>
      <c r="I82" s="18"/>
      <c r="J82" s="18"/>
    </row>
    <row r="83" customFormat="false" ht="15" hidden="false" customHeight="false" outlineLevel="0" collapsed="false">
      <c r="A83" s="18"/>
      <c r="B83" s="18"/>
      <c r="C83" s="12"/>
      <c r="D83" s="12"/>
      <c r="E83" s="18"/>
      <c r="F83" s="12"/>
      <c r="G83" s="12"/>
      <c r="H83" s="18"/>
      <c r="I83" s="18"/>
      <c r="J83" s="18"/>
    </row>
    <row r="84" customFormat="false" ht="15" hidden="false" customHeight="false" outlineLevel="0" collapsed="false">
      <c r="A84" s="18"/>
      <c r="B84" s="18"/>
      <c r="C84" s="12"/>
      <c r="D84" s="12"/>
      <c r="E84" s="18"/>
      <c r="F84" s="12"/>
      <c r="G84" s="12"/>
      <c r="H84" s="18"/>
      <c r="I84" s="18"/>
      <c r="J84" s="18"/>
    </row>
    <row r="85" customFormat="false" ht="15" hidden="false" customHeight="false" outlineLevel="0" collapsed="false">
      <c r="A85" s="18"/>
      <c r="B85" s="18"/>
      <c r="C85" s="12"/>
      <c r="D85" s="12"/>
      <c r="E85" s="18"/>
      <c r="F85" s="12"/>
      <c r="G85" s="12"/>
      <c r="H85" s="18"/>
      <c r="I85" s="18"/>
      <c r="J85" s="18"/>
    </row>
    <row r="86" customFormat="false" ht="15" hidden="false" customHeight="false" outlineLevel="0" collapsed="false">
      <c r="A86" s="18"/>
      <c r="B86" s="18"/>
      <c r="C86" s="12"/>
      <c r="D86" s="12"/>
      <c r="E86" s="18"/>
      <c r="F86" s="12"/>
      <c r="G86" s="12"/>
      <c r="H86" s="18"/>
      <c r="I86" s="18"/>
      <c r="J86" s="18"/>
    </row>
    <row r="87" customFormat="false" ht="15" hidden="false" customHeight="false" outlineLevel="0" collapsed="false">
      <c r="A87" s="18"/>
      <c r="B87" s="18"/>
      <c r="C87" s="12"/>
      <c r="D87" s="12"/>
      <c r="E87" s="18"/>
      <c r="F87" s="12"/>
      <c r="G87" s="12"/>
      <c r="H87" s="18"/>
      <c r="I87" s="18"/>
      <c r="J87" s="18"/>
    </row>
    <row r="88" customFormat="false" ht="15" hidden="false" customHeight="false" outlineLevel="0" collapsed="false">
      <c r="A88" s="18"/>
      <c r="B88" s="18"/>
      <c r="C88" s="12"/>
      <c r="D88" s="12"/>
      <c r="E88" s="18"/>
      <c r="F88" s="12"/>
      <c r="G88" s="12"/>
      <c r="H88" s="18"/>
      <c r="I88" s="18"/>
      <c r="J88" s="18"/>
    </row>
    <row r="89" customFormat="false" ht="15" hidden="false" customHeight="false" outlineLevel="0" collapsed="false">
      <c r="A89" s="18"/>
      <c r="B89" s="18"/>
      <c r="C89" s="12"/>
      <c r="D89" s="12"/>
      <c r="E89" s="18"/>
      <c r="F89" s="12"/>
      <c r="G89" s="12"/>
      <c r="H89" s="18"/>
      <c r="I89" s="18"/>
      <c r="J89" s="18"/>
    </row>
    <row r="90" customFormat="false" ht="15" hidden="false" customHeight="false" outlineLevel="0" collapsed="false">
      <c r="A90" s="18"/>
      <c r="B90" s="18"/>
      <c r="C90" s="12"/>
      <c r="D90" s="12"/>
      <c r="E90" s="18"/>
      <c r="F90" s="12"/>
      <c r="G90" s="12"/>
      <c r="H90" s="18"/>
      <c r="I90" s="18"/>
      <c r="J90" s="18"/>
    </row>
    <row r="91" customFormat="false" ht="15" hidden="false" customHeight="false" outlineLevel="0" collapsed="false">
      <c r="A91" s="18"/>
      <c r="B91" s="18"/>
      <c r="C91" s="12"/>
      <c r="D91" s="12"/>
      <c r="E91" s="18"/>
      <c r="F91" s="12"/>
      <c r="G91" s="12"/>
      <c r="H91" s="18"/>
      <c r="I91" s="18"/>
      <c r="J91" s="18"/>
    </row>
    <row r="92" customFormat="false" ht="15" hidden="false" customHeight="false" outlineLevel="0" collapsed="false">
      <c r="A92" s="18"/>
      <c r="B92" s="18"/>
      <c r="C92" s="12"/>
      <c r="D92" s="12"/>
      <c r="E92" s="18"/>
      <c r="F92" s="12"/>
      <c r="G92" s="12"/>
      <c r="H92" s="18"/>
      <c r="I92" s="18"/>
      <c r="J92" s="18"/>
    </row>
    <row r="93" customFormat="false" ht="15" hidden="false" customHeight="false" outlineLevel="0" collapsed="false">
      <c r="A93" s="18"/>
      <c r="B93" s="18"/>
      <c r="C93" s="12"/>
      <c r="D93" s="12"/>
      <c r="E93" s="18"/>
      <c r="F93" s="12"/>
      <c r="G93" s="12"/>
      <c r="H93" s="18"/>
      <c r="I93" s="18"/>
      <c r="J93" s="18"/>
    </row>
    <row r="94" customFormat="false" ht="15" hidden="false" customHeight="false" outlineLevel="0" collapsed="false">
      <c r="A94" s="18"/>
      <c r="B94" s="18"/>
      <c r="C94" s="12"/>
      <c r="D94" s="12"/>
      <c r="E94" s="18"/>
      <c r="F94" s="12"/>
      <c r="G94" s="12"/>
      <c r="H94" s="18"/>
      <c r="I94" s="18"/>
      <c r="J94" s="18"/>
    </row>
    <row r="95" customFormat="false" ht="15" hidden="false" customHeight="false" outlineLevel="0" collapsed="false">
      <c r="A95" s="18"/>
      <c r="B95" s="18"/>
      <c r="C95" s="12"/>
      <c r="D95" s="12"/>
      <c r="E95" s="18"/>
      <c r="F95" s="12"/>
      <c r="G95" s="12"/>
      <c r="H95" s="18"/>
      <c r="I95" s="18"/>
      <c r="J95" s="18"/>
    </row>
    <row r="96" customFormat="false" ht="15" hidden="false" customHeight="false" outlineLevel="0" collapsed="false">
      <c r="A96" s="18"/>
      <c r="B96" s="18"/>
      <c r="C96" s="12"/>
      <c r="D96" s="12"/>
      <c r="E96" s="18"/>
      <c r="F96" s="12"/>
      <c r="G96" s="12"/>
      <c r="H96" s="18"/>
      <c r="I96" s="18"/>
      <c r="J96" s="18"/>
    </row>
    <row r="97" customFormat="false" ht="15" hidden="false" customHeight="false" outlineLevel="0" collapsed="false">
      <c r="A97" s="18"/>
      <c r="B97" s="18"/>
      <c r="C97" s="12"/>
      <c r="D97" s="12"/>
      <c r="E97" s="18"/>
      <c r="F97" s="12"/>
      <c r="G97" s="12"/>
      <c r="H97" s="18"/>
      <c r="I97" s="18"/>
      <c r="J97" s="18"/>
    </row>
    <row r="98" customFormat="false" ht="15" hidden="false" customHeight="false" outlineLevel="0" collapsed="false">
      <c r="A98" s="18"/>
      <c r="B98" s="18"/>
      <c r="C98" s="12"/>
      <c r="D98" s="12"/>
      <c r="E98" s="18"/>
      <c r="F98" s="12"/>
      <c r="G98" s="12"/>
      <c r="H98" s="18"/>
      <c r="I98" s="18"/>
      <c r="J98" s="18"/>
    </row>
    <row r="99" customFormat="false" ht="15" hidden="false" customHeight="false" outlineLevel="0" collapsed="false">
      <c r="A99" s="18"/>
      <c r="B99" s="18"/>
      <c r="C99" s="12"/>
      <c r="D99" s="12"/>
      <c r="E99" s="18"/>
      <c r="F99" s="12"/>
      <c r="G99" s="12"/>
      <c r="H99" s="18"/>
      <c r="I99" s="18"/>
      <c r="J99" s="18"/>
    </row>
    <row r="100" customFormat="false" ht="15" hidden="false" customHeight="false" outlineLevel="0" collapsed="false">
      <c r="A100" s="18"/>
      <c r="B100" s="18"/>
      <c r="C100" s="12"/>
      <c r="D100" s="12"/>
      <c r="E100" s="18"/>
      <c r="F100" s="12"/>
      <c r="G100" s="12"/>
      <c r="H100" s="18"/>
      <c r="I100" s="18"/>
      <c r="J100" s="18"/>
    </row>
    <row r="101" customFormat="false" ht="15" hidden="false" customHeight="false" outlineLevel="0" collapsed="false">
      <c r="A101" s="18"/>
      <c r="B101" s="18"/>
      <c r="C101" s="12"/>
      <c r="D101" s="12"/>
      <c r="E101" s="18"/>
      <c r="F101" s="12"/>
      <c r="G101" s="12"/>
      <c r="H101" s="18"/>
      <c r="I101" s="18"/>
      <c r="J101" s="18"/>
    </row>
    <row r="102" customFormat="false" ht="15" hidden="false" customHeight="false" outlineLevel="0" collapsed="false">
      <c r="A102" s="18"/>
      <c r="B102" s="18"/>
      <c r="C102" s="12"/>
      <c r="D102" s="12"/>
      <c r="E102" s="18"/>
      <c r="F102" s="12"/>
      <c r="G102" s="12"/>
      <c r="H102" s="18"/>
      <c r="I102" s="18"/>
      <c r="J102" s="18"/>
    </row>
    <row r="103" customFormat="false" ht="15" hidden="false" customHeight="false" outlineLevel="0" collapsed="false">
      <c r="A103" s="18"/>
      <c r="B103" s="18"/>
      <c r="C103" s="12"/>
      <c r="D103" s="12"/>
      <c r="E103" s="18"/>
      <c r="F103" s="12"/>
      <c r="G103" s="12"/>
      <c r="H103" s="18"/>
      <c r="I103" s="18"/>
      <c r="J103" s="18"/>
    </row>
    <row r="104" customFormat="false" ht="15" hidden="false" customHeight="false" outlineLevel="0" collapsed="false">
      <c r="A104" s="18"/>
      <c r="B104" s="18"/>
      <c r="C104" s="12"/>
      <c r="D104" s="12"/>
      <c r="E104" s="18"/>
      <c r="F104" s="12"/>
      <c r="G104" s="12"/>
      <c r="H104" s="18"/>
      <c r="I104" s="18"/>
      <c r="J104" s="18"/>
    </row>
    <row r="105" customFormat="false" ht="15" hidden="false" customHeight="false" outlineLevel="0" collapsed="false">
      <c r="A105" s="18"/>
      <c r="B105" s="18"/>
      <c r="C105" s="12"/>
      <c r="D105" s="12"/>
      <c r="E105" s="18"/>
      <c r="F105" s="12"/>
      <c r="G105" s="12"/>
      <c r="H105" s="18"/>
      <c r="I105" s="18"/>
      <c r="J105" s="18"/>
    </row>
    <row r="106" customFormat="false" ht="15" hidden="false" customHeight="false" outlineLevel="0" collapsed="false">
      <c r="A106" s="18"/>
      <c r="B106" s="18"/>
      <c r="C106" s="12"/>
      <c r="D106" s="12"/>
      <c r="E106" s="18"/>
      <c r="F106" s="12"/>
      <c r="G106" s="12"/>
      <c r="H106" s="18"/>
      <c r="I106" s="18"/>
      <c r="J106" s="18"/>
    </row>
    <row r="107" customFormat="false" ht="15" hidden="false" customHeight="false" outlineLevel="0" collapsed="false">
      <c r="A107" s="18"/>
      <c r="B107" s="18"/>
      <c r="C107" s="12"/>
      <c r="D107" s="12"/>
      <c r="E107" s="18"/>
      <c r="F107" s="12"/>
      <c r="G107" s="12"/>
      <c r="H107" s="18"/>
      <c r="I107" s="18"/>
      <c r="J107" s="18"/>
    </row>
    <row r="108" customFormat="false" ht="15" hidden="false" customHeight="false" outlineLevel="0" collapsed="false">
      <c r="A108" s="18"/>
      <c r="B108" s="18"/>
      <c r="C108" s="12"/>
      <c r="D108" s="12"/>
      <c r="E108" s="18"/>
      <c r="F108" s="12"/>
      <c r="G108" s="12"/>
      <c r="H108" s="18"/>
      <c r="I108" s="18"/>
      <c r="J108" s="18"/>
    </row>
    <row r="109" customFormat="false" ht="15" hidden="false" customHeight="false" outlineLevel="0" collapsed="false">
      <c r="A109" s="18"/>
      <c r="B109" s="18"/>
      <c r="C109" s="12"/>
      <c r="D109" s="12"/>
      <c r="E109" s="18"/>
      <c r="F109" s="12"/>
      <c r="G109" s="12"/>
      <c r="H109" s="18"/>
      <c r="I109" s="18"/>
      <c r="J109" s="18"/>
    </row>
    <row r="110" customFormat="false" ht="15" hidden="false" customHeight="false" outlineLevel="0" collapsed="false">
      <c r="A110" s="18"/>
      <c r="B110" s="18"/>
      <c r="C110" s="12"/>
      <c r="D110" s="12"/>
      <c r="E110" s="18"/>
      <c r="F110" s="12"/>
      <c r="G110" s="12"/>
      <c r="H110" s="18"/>
      <c r="I110" s="18"/>
      <c r="J110" s="18"/>
    </row>
    <row r="111" customFormat="false" ht="15" hidden="false" customHeight="false" outlineLevel="0" collapsed="false">
      <c r="A111" s="18"/>
      <c r="B111" s="18"/>
      <c r="C111" s="12"/>
      <c r="D111" s="12"/>
      <c r="E111" s="18"/>
      <c r="F111" s="12"/>
      <c r="G111" s="12"/>
      <c r="H111" s="18"/>
      <c r="I111" s="18"/>
      <c r="J111" s="18"/>
    </row>
    <row r="112" customFormat="false" ht="15" hidden="false" customHeight="false" outlineLevel="0" collapsed="false">
      <c r="A112" s="18"/>
      <c r="B112" s="18"/>
      <c r="C112" s="12"/>
      <c r="D112" s="12"/>
      <c r="E112" s="18"/>
      <c r="F112" s="12"/>
      <c r="G112" s="12"/>
      <c r="H112" s="18"/>
      <c r="I112" s="18"/>
      <c r="J112" s="18"/>
    </row>
    <row r="113" customFormat="false" ht="15" hidden="false" customHeight="false" outlineLevel="0" collapsed="false">
      <c r="A113" s="18"/>
      <c r="B113" s="18"/>
      <c r="C113" s="12"/>
      <c r="D113" s="12"/>
      <c r="E113" s="18"/>
      <c r="F113" s="12"/>
      <c r="G113" s="12"/>
      <c r="H113" s="18"/>
      <c r="I113" s="18"/>
      <c r="J113" s="18"/>
    </row>
    <row r="114" customFormat="false" ht="15" hidden="false" customHeight="false" outlineLevel="0" collapsed="false">
      <c r="A114" s="18"/>
      <c r="B114" s="18"/>
      <c r="C114" s="12"/>
      <c r="D114" s="12"/>
      <c r="E114" s="18"/>
      <c r="F114" s="12"/>
      <c r="G114" s="12"/>
      <c r="H114" s="18"/>
      <c r="I114" s="18"/>
      <c r="J114" s="18"/>
    </row>
    <row r="115" customFormat="false" ht="15" hidden="false" customHeight="false" outlineLevel="0" collapsed="false">
      <c r="A115" s="18"/>
      <c r="B115" s="18"/>
      <c r="C115" s="12"/>
      <c r="D115" s="12"/>
      <c r="E115" s="18"/>
      <c r="F115" s="12"/>
      <c r="G115" s="12"/>
      <c r="H115" s="18"/>
      <c r="I115" s="18"/>
      <c r="J115" s="18"/>
    </row>
    <row r="116" customFormat="false" ht="15" hidden="false" customHeight="false" outlineLevel="0" collapsed="false">
      <c r="A116" s="18"/>
      <c r="B116" s="18"/>
      <c r="C116" s="12"/>
      <c r="D116" s="12"/>
      <c r="E116" s="18"/>
      <c r="F116" s="12"/>
      <c r="G116" s="12"/>
      <c r="H116" s="18"/>
      <c r="I116" s="18"/>
      <c r="J116" s="18"/>
    </row>
    <row r="117" customFormat="false" ht="15" hidden="false" customHeight="false" outlineLevel="0" collapsed="false">
      <c r="A117" s="18"/>
      <c r="B117" s="18"/>
      <c r="C117" s="12"/>
      <c r="D117" s="12"/>
      <c r="E117" s="18"/>
      <c r="F117" s="12"/>
      <c r="G117" s="12"/>
      <c r="H117" s="18"/>
      <c r="I117" s="18"/>
      <c r="J117" s="18"/>
    </row>
    <row r="118" customFormat="false" ht="15" hidden="false" customHeight="false" outlineLevel="0" collapsed="false">
      <c r="A118" s="18"/>
      <c r="B118" s="18"/>
      <c r="C118" s="12"/>
      <c r="D118" s="12"/>
      <c r="E118" s="18"/>
      <c r="F118" s="12"/>
      <c r="G118" s="12"/>
      <c r="H118" s="18"/>
      <c r="I118" s="18"/>
      <c r="J118" s="18"/>
    </row>
    <row r="119" customFormat="false" ht="15" hidden="false" customHeight="false" outlineLevel="0" collapsed="false">
      <c r="A119" s="18"/>
      <c r="B119" s="18"/>
      <c r="C119" s="12"/>
      <c r="D119" s="12"/>
      <c r="E119" s="18"/>
      <c r="F119" s="12"/>
      <c r="G119" s="12"/>
      <c r="H119" s="18"/>
      <c r="I119" s="18"/>
      <c r="J119" s="18"/>
    </row>
    <row r="120" customFormat="false" ht="15" hidden="false" customHeight="false" outlineLevel="0" collapsed="false">
      <c r="A120" s="18"/>
      <c r="B120" s="18"/>
      <c r="C120" s="12"/>
      <c r="D120" s="12"/>
      <c r="E120" s="18"/>
      <c r="F120" s="12"/>
      <c r="G120" s="12"/>
      <c r="H120" s="18"/>
      <c r="I120" s="18"/>
      <c r="J120" s="18"/>
    </row>
    <row r="121" customFormat="false" ht="15" hidden="false" customHeight="false" outlineLevel="0" collapsed="false">
      <c r="A121" s="18"/>
      <c r="B121" s="18"/>
      <c r="C121" s="12"/>
      <c r="D121" s="12"/>
      <c r="E121" s="18"/>
      <c r="F121" s="12"/>
      <c r="G121" s="12"/>
      <c r="H121" s="18"/>
      <c r="I121" s="18"/>
      <c r="J121" s="18"/>
    </row>
    <row r="122" customFormat="false" ht="15" hidden="false" customHeight="false" outlineLevel="0" collapsed="false">
      <c r="A122" s="18"/>
      <c r="B122" s="18"/>
      <c r="C122" s="12"/>
      <c r="D122" s="12"/>
      <c r="E122" s="18"/>
      <c r="F122" s="12"/>
      <c r="G122" s="12"/>
      <c r="H122" s="18"/>
      <c r="I122" s="18"/>
      <c r="J122" s="18"/>
    </row>
    <row r="123" customFormat="false" ht="15" hidden="false" customHeight="false" outlineLevel="0" collapsed="false">
      <c r="A123" s="18"/>
      <c r="B123" s="18"/>
      <c r="C123" s="12"/>
      <c r="D123" s="12"/>
      <c r="E123" s="18"/>
      <c r="F123" s="12"/>
      <c r="G123" s="12"/>
      <c r="H123" s="18"/>
      <c r="I123" s="18"/>
      <c r="J123" s="18"/>
    </row>
    <row r="124" customFormat="false" ht="15" hidden="false" customHeight="false" outlineLevel="0" collapsed="false">
      <c r="A124" s="18"/>
      <c r="B124" s="18"/>
      <c r="C124" s="12"/>
      <c r="D124" s="12"/>
      <c r="E124" s="18"/>
      <c r="F124" s="12"/>
      <c r="G124" s="12"/>
      <c r="H124" s="18"/>
      <c r="I124" s="18"/>
      <c r="J124" s="18"/>
    </row>
    <row r="125" customFormat="false" ht="15" hidden="false" customHeight="false" outlineLevel="0" collapsed="false">
      <c r="A125" s="18"/>
      <c r="B125" s="18"/>
      <c r="C125" s="12"/>
      <c r="D125" s="12"/>
      <c r="E125" s="18"/>
      <c r="F125" s="12"/>
      <c r="G125" s="12"/>
      <c r="H125" s="18"/>
      <c r="I125" s="18"/>
      <c r="J125" s="18"/>
    </row>
    <row r="126" customFormat="false" ht="15" hidden="false" customHeight="false" outlineLevel="0" collapsed="false">
      <c r="A126" s="18"/>
      <c r="B126" s="18"/>
      <c r="C126" s="12"/>
      <c r="D126" s="12"/>
      <c r="E126" s="18"/>
      <c r="F126" s="12"/>
      <c r="G126" s="12"/>
      <c r="H126" s="18"/>
      <c r="I126" s="18"/>
      <c r="J126" s="18"/>
    </row>
    <row r="127" customFormat="false" ht="15" hidden="false" customHeight="false" outlineLevel="0" collapsed="false">
      <c r="A127" s="18"/>
      <c r="B127" s="18"/>
      <c r="C127" s="12"/>
      <c r="D127" s="12"/>
      <c r="E127" s="18"/>
      <c r="F127" s="12"/>
      <c r="G127" s="12"/>
      <c r="H127" s="18"/>
      <c r="I127" s="18"/>
      <c r="J127" s="18"/>
    </row>
    <row r="128" customFormat="false" ht="15" hidden="false" customHeight="false" outlineLevel="0" collapsed="false">
      <c r="A128" s="18"/>
      <c r="B128" s="18"/>
      <c r="C128" s="12"/>
      <c r="D128" s="12"/>
      <c r="E128" s="18"/>
      <c r="F128" s="12"/>
      <c r="G128" s="12"/>
      <c r="H128" s="18"/>
      <c r="I128" s="18"/>
      <c r="J128" s="18"/>
    </row>
    <row r="129" customFormat="false" ht="15" hidden="false" customHeight="false" outlineLevel="0" collapsed="false">
      <c r="A129" s="18"/>
      <c r="B129" s="18"/>
      <c r="C129" s="12"/>
      <c r="D129" s="12"/>
      <c r="E129" s="18"/>
      <c r="F129" s="12"/>
      <c r="G129" s="12"/>
      <c r="H129" s="18"/>
      <c r="I129" s="18"/>
      <c r="J129" s="18"/>
    </row>
    <row r="130" customFormat="false" ht="15" hidden="false" customHeight="false" outlineLevel="0" collapsed="false">
      <c r="A130" s="18"/>
      <c r="B130" s="18"/>
      <c r="C130" s="12"/>
      <c r="D130" s="12"/>
      <c r="E130" s="18"/>
      <c r="F130" s="12"/>
      <c r="G130" s="12"/>
      <c r="H130" s="18"/>
      <c r="I130" s="18"/>
      <c r="J130" s="18"/>
    </row>
    <row r="131" customFormat="false" ht="15" hidden="false" customHeight="false" outlineLevel="0" collapsed="false">
      <c r="A131" s="18"/>
      <c r="B131" s="18"/>
      <c r="C131" s="12"/>
      <c r="D131" s="12"/>
      <c r="E131" s="18"/>
      <c r="F131" s="12"/>
      <c r="G131" s="12"/>
      <c r="H131" s="18"/>
      <c r="I131" s="18"/>
      <c r="J131" s="18"/>
    </row>
    <row r="132" customFormat="false" ht="15" hidden="false" customHeight="false" outlineLevel="0" collapsed="false">
      <c r="A132" s="18"/>
      <c r="B132" s="18"/>
      <c r="C132" s="12"/>
      <c r="D132" s="12"/>
      <c r="E132" s="18"/>
      <c r="F132" s="12"/>
      <c r="G132" s="12"/>
      <c r="H132" s="18"/>
      <c r="I132" s="18"/>
      <c r="J132" s="18"/>
    </row>
    <row r="133" customFormat="false" ht="15" hidden="false" customHeight="false" outlineLevel="0" collapsed="false">
      <c r="A133" s="18"/>
      <c r="B133" s="18"/>
      <c r="C133" s="12"/>
      <c r="D133" s="12"/>
      <c r="E133" s="18"/>
      <c r="F133" s="12"/>
      <c r="G133" s="12"/>
      <c r="H133" s="18"/>
      <c r="I133" s="18"/>
      <c r="J133" s="18"/>
    </row>
    <row r="134" customFormat="false" ht="15" hidden="false" customHeight="false" outlineLevel="0" collapsed="false">
      <c r="A134" s="18"/>
      <c r="B134" s="18"/>
      <c r="C134" s="12"/>
      <c r="D134" s="12"/>
      <c r="E134" s="18"/>
      <c r="F134" s="12"/>
      <c r="G134" s="12"/>
      <c r="H134" s="18"/>
      <c r="I134" s="18"/>
      <c r="J134" s="18"/>
    </row>
    <row r="135" customFormat="false" ht="15" hidden="false" customHeight="false" outlineLevel="0" collapsed="false">
      <c r="A135" s="18"/>
      <c r="B135" s="18"/>
      <c r="C135" s="12"/>
      <c r="D135" s="12"/>
      <c r="E135" s="18"/>
      <c r="F135" s="12"/>
      <c r="G135" s="12"/>
      <c r="H135" s="18"/>
      <c r="I135" s="18"/>
      <c r="J135" s="18"/>
    </row>
    <row r="136" customFormat="false" ht="15" hidden="false" customHeight="false" outlineLevel="0" collapsed="false">
      <c r="A136" s="18"/>
      <c r="B136" s="18"/>
      <c r="C136" s="12"/>
      <c r="D136" s="12"/>
      <c r="E136" s="18"/>
      <c r="F136" s="12"/>
      <c r="G136" s="12"/>
      <c r="H136" s="18"/>
      <c r="I136" s="18"/>
      <c r="J136" s="18"/>
    </row>
    <row r="137" customFormat="false" ht="15" hidden="false" customHeight="false" outlineLevel="0" collapsed="false">
      <c r="A137" s="18"/>
      <c r="B137" s="18"/>
      <c r="C137" s="12"/>
      <c r="D137" s="12"/>
      <c r="E137" s="18"/>
      <c r="F137" s="12"/>
      <c r="G137" s="12"/>
      <c r="H137" s="18"/>
      <c r="I137" s="18"/>
      <c r="J137" s="18"/>
    </row>
    <row r="138" customFormat="false" ht="15" hidden="false" customHeight="false" outlineLevel="0" collapsed="false">
      <c r="A138" s="18"/>
      <c r="B138" s="18"/>
      <c r="C138" s="12"/>
      <c r="D138" s="12"/>
      <c r="E138" s="18"/>
      <c r="F138" s="12"/>
      <c r="G138" s="12"/>
      <c r="H138" s="18"/>
      <c r="I138" s="18"/>
      <c r="J138" s="18"/>
    </row>
    <row r="139" customFormat="false" ht="15" hidden="false" customHeight="false" outlineLevel="0" collapsed="false">
      <c r="A139" s="18"/>
      <c r="B139" s="18"/>
      <c r="C139" s="12"/>
      <c r="D139" s="12"/>
      <c r="E139" s="18"/>
      <c r="F139" s="12"/>
      <c r="G139" s="12"/>
      <c r="H139" s="18"/>
      <c r="I139" s="18"/>
      <c r="J139" s="18"/>
    </row>
    <row r="140" customFormat="false" ht="15" hidden="false" customHeight="false" outlineLevel="0" collapsed="false">
      <c r="A140" s="18"/>
      <c r="B140" s="18"/>
      <c r="C140" s="12"/>
      <c r="D140" s="12"/>
      <c r="E140" s="18"/>
      <c r="F140" s="12"/>
      <c r="G140" s="12"/>
      <c r="H140" s="18"/>
      <c r="I140" s="18"/>
      <c r="J140" s="18"/>
    </row>
    <row r="141" customFormat="false" ht="15" hidden="false" customHeight="false" outlineLevel="0" collapsed="false">
      <c r="A141" s="18"/>
      <c r="B141" s="18"/>
      <c r="C141" s="12"/>
      <c r="D141" s="12"/>
      <c r="E141" s="18"/>
      <c r="F141" s="12"/>
      <c r="G141" s="12"/>
      <c r="H141" s="18"/>
      <c r="I141" s="18"/>
      <c r="J141" s="18"/>
    </row>
    <row r="142" customFormat="false" ht="15" hidden="false" customHeight="false" outlineLevel="0" collapsed="false">
      <c r="A142" s="18"/>
      <c r="B142" s="18"/>
      <c r="C142" s="12"/>
      <c r="D142" s="12"/>
      <c r="E142" s="18"/>
      <c r="F142" s="12"/>
      <c r="G142" s="12"/>
      <c r="H142" s="18"/>
      <c r="I142" s="18"/>
      <c r="J142" s="18"/>
    </row>
    <row r="143" customFormat="false" ht="15" hidden="false" customHeight="false" outlineLevel="0" collapsed="false">
      <c r="A143" s="18"/>
      <c r="B143" s="18"/>
      <c r="C143" s="12"/>
      <c r="D143" s="12"/>
      <c r="E143" s="18"/>
      <c r="F143" s="12"/>
      <c r="G143" s="12"/>
      <c r="H143" s="18"/>
      <c r="I143" s="18"/>
      <c r="J143" s="18"/>
    </row>
    <row r="144" customFormat="false" ht="15" hidden="false" customHeight="false" outlineLevel="0" collapsed="false">
      <c r="A144" s="18"/>
      <c r="B144" s="18"/>
      <c r="C144" s="12"/>
      <c r="D144" s="12"/>
      <c r="E144" s="18"/>
      <c r="F144" s="12"/>
      <c r="G144" s="12"/>
      <c r="H144" s="18"/>
      <c r="I144" s="18"/>
      <c r="J144" s="18"/>
    </row>
    <row r="145" customFormat="false" ht="15" hidden="false" customHeight="false" outlineLevel="0" collapsed="false">
      <c r="A145" s="18"/>
      <c r="B145" s="18"/>
      <c r="C145" s="12"/>
      <c r="D145" s="12"/>
      <c r="E145" s="18"/>
      <c r="F145" s="12"/>
      <c r="G145" s="12"/>
      <c r="H145" s="18"/>
      <c r="I145" s="18"/>
      <c r="J145" s="18"/>
    </row>
    <row r="146" customFormat="false" ht="15" hidden="false" customHeight="false" outlineLevel="0" collapsed="false">
      <c r="A146" s="18"/>
      <c r="B146" s="18"/>
      <c r="C146" s="12"/>
      <c r="D146" s="12"/>
      <c r="E146" s="18"/>
      <c r="F146" s="12"/>
      <c r="G146" s="12"/>
      <c r="H146" s="18"/>
      <c r="I146" s="18"/>
      <c r="J146" s="18"/>
    </row>
    <row r="147" customFormat="false" ht="15" hidden="false" customHeight="false" outlineLevel="0" collapsed="false">
      <c r="A147" s="18"/>
      <c r="B147" s="18"/>
      <c r="C147" s="12"/>
      <c r="D147" s="12"/>
      <c r="E147" s="18"/>
      <c r="F147" s="12"/>
      <c r="G147" s="12"/>
      <c r="H147" s="18"/>
      <c r="I147" s="18"/>
      <c r="J147" s="18"/>
    </row>
    <row r="148" customFormat="false" ht="15" hidden="false" customHeight="false" outlineLevel="0" collapsed="false">
      <c r="A148" s="18"/>
      <c r="B148" s="18"/>
      <c r="C148" s="12"/>
      <c r="D148" s="12"/>
      <c r="E148" s="18"/>
      <c r="F148" s="12"/>
      <c r="G148" s="12"/>
      <c r="H148" s="18"/>
      <c r="I148" s="18"/>
      <c r="J148" s="18"/>
    </row>
    <row r="149" customFormat="false" ht="15" hidden="false" customHeight="false" outlineLevel="0" collapsed="false">
      <c r="A149" s="18"/>
      <c r="B149" s="18"/>
      <c r="C149" s="12"/>
      <c r="D149" s="12"/>
      <c r="E149" s="18"/>
      <c r="F149" s="12"/>
      <c r="G149" s="12"/>
      <c r="H149" s="18"/>
      <c r="I149" s="18"/>
      <c r="J149" s="18"/>
    </row>
    <row r="150" customFormat="false" ht="15" hidden="false" customHeight="false" outlineLevel="0" collapsed="false">
      <c r="A150" s="18"/>
      <c r="B150" s="18"/>
      <c r="C150" s="12"/>
      <c r="D150" s="12"/>
      <c r="E150" s="18"/>
      <c r="F150" s="12"/>
      <c r="G150" s="12"/>
      <c r="H150" s="18"/>
      <c r="I150" s="18"/>
      <c r="J150" s="18"/>
    </row>
    <row r="151" customFormat="false" ht="15" hidden="false" customHeight="false" outlineLevel="0" collapsed="false">
      <c r="A151" s="18"/>
      <c r="B151" s="18"/>
      <c r="C151" s="12"/>
      <c r="D151" s="12"/>
      <c r="E151" s="18"/>
      <c r="F151" s="12"/>
      <c r="G151" s="12"/>
      <c r="H151" s="18"/>
      <c r="I151" s="18"/>
      <c r="J151" s="18"/>
    </row>
    <row r="152" customFormat="false" ht="15" hidden="false" customHeight="false" outlineLevel="0" collapsed="false">
      <c r="A152" s="18"/>
      <c r="B152" s="18"/>
      <c r="C152" s="12"/>
      <c r="D152" s="12"/>
      <c r="E152" s="18"/>
      <c r="F152" s="12"/>
      <c r="G152" s="12"/>
      <c r="H152" s="18"/>
      <c r="I152" s="18"/>
      <c r="J152" s="18"/>
    </row>
    <row r="153" customFormat="false" ht="15" hidden="false" customHeight="false" outlineLevel="0" collapsed="false">
      <c r="A153" s="18"/>
      <c r="B153" s="18"/>
      <c r="C153" s="12"/>
      <c r="D153" s="12"/>
      <c r="E153" s="18"/>
      <c r="F153" s="12"/>
      <c r="G153" s="12"/>
      <c r="H153" s="18"/>
      <c r="I153" s="18"/>
      <c r="J153" s="18"/>
    </row>
    <row r="154" customFormat="false" ht="15" hidden="false" customHeight="false" outlineLevel="0" collapsed="false">
      <c r="A154" s="18"/>
      <c r="B154" s="18"/>
      <c r="C154" s="12"/>
      <c r="D154" s="12"/>
      <c r="E154" s="18"/>
      <c r="F154" s="12"/>
      <c r="G154" s="12"/>
      <c r="H154" s="18"/>
      <c r="I154" s="18"/>
      <c r="J154" s="18"/>
    </row>
    <row r="155" customFormat="false" ht="15" hidden="false" customHeight="false" outlineLevel="0" collapsed="false">
      <c r="A155" s="18"/>
      <c r="B155" s="18"/>
      <c r="C155" s="12"/>
      <c r="D155" s="12"/>
      <c r="E155" s="18"/>
      <c r="F155" s="12"/>
      <c r="G155" s="12"/>
      <c r="H155" s="18"/>
      <c r="I155" s="18"/>
      <c r="J155" s="18"/>
    </row>
    <row r="156" customFormat="false" ht="15" hidden="false" customHeight="false" outlineLevel="0" collapsed="false">
      <c r="A156" s="18"/>
      <c r="B156" s="18"/>
      <c r="C156" s="12"/>
      <c r="D156" s="12"/>
      <c r="E156" s="18"/>
      <c r="F156" s="12"/>
      <c r="G156" s="12"/>
      <c r="H156" s="18"/>
      <c r="I156" s="18"/>
      <c r="J156" s="18"/>
    </row>
    <row r="157" customFormat="false" ht="15" hidden="false" customHeight="false" outlineLevel="0" collapsed="false">
      <c r="A157" s="18"/>
      <c r="B157" s="18"/>
      <c r="C157" s="12"/>
      <c r="D157" s="12"/>
      <c r="E157" s="18"/>
      <c r="F157" s="12"/>
      <c r="G157" s="12"/>
      <c r="H157" s="18"/>
      <c r="I157" s="18"/>
      <c r="J157" s="18"/>
    </row>
    <row r="158" customFormat="false" ht="15" hidden="false" customHeight="false" outlineLevel="0" collapsed="false">
      <c r="A158" s="18"/>
      <c r="B158" s="18"/>
      <c r="C158" s="12"/>
      <c r="D158" s="12"/>
      <c r="E158" s="18"/>
      <c r="F158" s="12"/>
      <c r="G158" s="12"/>
      <c r="H158" s="18"/>
      <c r="I158" s="18"/>
      <c r="J158" s="18"/>
    </row>
    <row r="159" customFormat="false" ht="15" hidden="false" customHeight="false" outlineLevel="0" collapsed="false">
      <c r="A159" s="18"/>
      <c r="B159" s="18"/>
      <c r="C159" s="12"/>
      <c r="D159" s="12"/>
      <c r="E159" s="18"/>
      <c r="F159" s="12"/>
      <c r="G159" s="12"/>
      <c r="H159" s="18"/>
      <c r="I159" s="18"/>
      <c r="J159" s="18"/>
    </row>
    <row r="160" customFormat="false" ht="15" hidden="false" customHeight="false" outlineLevel="0" collapsed="false">
      <c r="A160" s="18"/>
      <c r="B160" s="18"/>
      <c r="C160" s="12"/>
      <c r="D160" s="12"/>
      <c r="E160" s="18"/>
      <c r="F160" s="12"/>
      <c r="G160" s="12"/>
      <c r="H160" s="18"/>
      <c r="I160" s="18"/>
      <c r="J160" s="18"/>
    </row>
    <row r="161" customFormat="false" ht="15" hidden="false" customHeight="false" outlineLevel="0" collapsed="false">
      <c r="A161" s="18"/>
      <c r="B161" s="18"/>
      <c r="C161" s="12"/>
      <c r="D161" s="12"/>
      <c r="E161" s="18"/>
      <c r="F161" s="12"/>
      <c r="G161" s="12"/>
      <c r="H161" s="18"/>
      <c r="I161" s="18"/>
      <c r="J161" s="18"/>
    </row>
    <row r="162" customFormat="false" ht="15" hidden="false" customHeight="false" outlineLevel="0" collapsed="false">
      <c r="A162" s="18"/>
      <c r="B162" s="18"/>
      <c r="C162" s="12"/>
      <c r="D162" s="12"/>
      <c r="E162" s="18"/>
      <c r="F162" s="12"/>
      <c r="G162" s="12"/>
      <c r="H162" s="18"/>
      <c r="I162" s="18"/>
      <c r="J162" s="18"/>
    </row>
    <row r="163" customFormat="false" ht="15" hidden="false" customHeight="false" outlineLevel="0" collapsed="false">
      <c r="A163" s="18"/>
      <c r="B163" s="18"/>
      <c r="C163" s="12"/>
      <c r="D163" s="12"/>
      <c r="E163" s="18"/>
      <c r="F163" s="12"/>
      <c r="G163" s="12"/>
      <c r="H163" s="18"/>
      <c r="I163" s="18"/>
      <c r="J163" s="18"/>
    </row>
    <row r="164" customFormat="false" ht="15" hidden="false" customHeight="false" outlineLevel="0" collapsed="false">
      <c r="A164" s="18"/>
      <c r="B164" s="18"/>
      <c r="C164" s="12"/>
      <c r="D164" s="12"/>
      <c r="E164" s="18"/>
      <c r="F164" s="12"/>
      <c r="G164" s="12"/>
      <c r="H164" s="18"/>
      <c r="I164" s="18"/>
      <c r="J164" s="18"/>
    </row>
    <row r="165" customFormat="false" ht="15" hidden="false" customHeight="false" outlineLevel="0" collapsed="false">
      <c r="A165" s="18"/>
      <c r="B165" s="18"/>
      <c r="C165" s="12"/>
      <c r="D165" s="12"/>
      <c r="E165" s="18"/>
      <c r="F165" s="12"/>
      <c r="G165" s="12"/>
      <c r="H165" s="18"/>
      <c r="I165" s="18"/>
      <c r="J165" s="18"/>
    </row>
    <row r="166" customFormat="false" ht="15" hidden="false" customHeight="false" outlineLevel="0" collapsed="false">
      <c r="A166" s="18"/>
      <c r="B166" s="18"/>
      <c r="C166" s="12"/>
      <c r="D166" s="12"/>
      <c r="E166" s="18"/>
      <c r="F166" s="12"/>
      <c r="G166" s="12"/>
      <c r="H166" s="18"/>
      <c r="I166" s="18"/>
      <c r="J166" s="18"/>
    </row>
    <row r="167" customFormat="false" ht="15" hidden="false" customHeight="false" outlineLevel="0" collapsed="false">
      <c r="A167" s="18"/>
      <c r="B167" s="18"/>
      <c r="C167" s="12"/>
      <c r="D167" s="12"/>
      <c r="E167" s="18"/>
      <c r="F167" s="12"/>
      <c r="G167" s="12"/>
      <c r="H167" s="18"/>
      <c r="I167" s="18"/>
      <c r="J167" s="18"/>
    </row>
    <row r="168" customFormat="false" ht="15" hidden="false" customHeight="false" outlineLevel="0" collapsed="false">
      <c r="A168" s="18"/>
      <c r="B168" s="18"/>
      <c r="C168" s="12"/>
      <c r="D168" s="12"/>
      <c r="E168" s="18"/>
      <c r="F168" s="12"/>
      <c r="G168" s="12"/>
      <c r="H168" s="18"/>
      <c r="I168" s="18"/>
      <c r="J168" s="18"/>
    </row>
    <row r="169" customFormat="false" ht="15" hidden="false" customHeight="false" outlineLevel="0" collapsed="false">
      <c r="A169" s="18"/>
      <c r="B169" s="18"/>
      <c r="C169" s="12"/>
      <c r="D169" s="12"/>
      <c r="E169" s="18"/>
      <c r="F169" s="12"/>
      <c r="G169" s="12"/>
      <c r="H169" s="18"/>
      <c r="I169" s="18"/>
      <c r="J169" s="18"/>
    </row>
    <row r="170" customFormat="false" ht="15" hidden="false" customHeight="false" outlineLevel="0" collapsed="false">
      <c r="A170" s="18"/>
      <c r="B170" s="18"/>
      <c r="C170" s="12"/>
      <c r="D170" s="12"/>
      <c r="E170" s="18"/>
      <c r="F170" s="12"/>
      <c r="G170" s="12"/>
      <c r="H170" s="18"/>
      <c r="I170" s="18"/>
      <c r="J170" s="18"/>
    </row>
    <row r="171" customFormat="false" ht="15" hidden="false" customHeight="false" outlineLevel="0" collapsed="false">
      <c r="A171" s="18"/>
      <c r="B171" s="18"/>
      <c r="C171" s="12"/>
      <c r="D171" s="12"/>
      <c r="E171" s="18"/>
      <c r="F171" s="12"/>
      <c r="G171" s="12"/>
      <c r="H171" s="18"/>
      <c r="I171" s="18"/>
      <c r="J171" s="18"/>
    </row>
    <row r="172" customFormat="false" ht="15" hidden="false" customHeight="false" outlineLevel="0" collapsed="false">
      <c r="A172" s="18"/>
      <c r="B172" s="18"/>
      <c r="C172" s="12"/>
      <c r="D172" s="12"/>
      <c r="E172" s="18"/>
      <c r="F172" s="12"/>
      <c r="G172" s="12"/>
      <c r="H172" s="18"/>
      <c r="I172" s="18"/>
      <c r="J172" s="18"/>
    </row>
    <row r="173" customFormat="false" ht="15" hidden="false" customHeight="false" outlineLevel="0" collapsed="false">
      <c r="A173" s="18"/>
      <c r="B173" s="18"/>
      <c r="C173" s="12"/>
      <c r="D173" s="12"/>
      <c r="E173" s="18"/>
      <c r="F173" s="12"/>
      <c r="G173" s="12"/>
      <c r="H173" s="18"/>
      <c r="I173" s="18"/>
      <c r="J173" s="18"/>
    </row>
    <row r="174" customFormat="false" ht="15" hidden="false" customHeight="false" outlineLevel="0" collapsed="false">
      <c r="A174" s="18"/>
      <c r="B174" s="18"/>
      <c r="C174" s="12"/>
      <c r="D174" s="12"/>
      <c r="E174" s="18"/>
      <c r="F174" s="12"/>
      <c r="G174" s="12"/>
      <c r="H174" s="18"/>
      <c r="I174" s="18"/>
      <c r="J174" s="18"/>
    </row>
    <row r="175" customFormat="false" ht="15" hidden="false" customHeight="false" outlineLevel="0" collapsed="false">
      <c r="A175" s="18"/>
      <c r="B175" s="18"/>
      <c r="C175" s="12"/>
      <c r="D175" s="12"/>
      <c r="E175" s="18"/>
      <c r="F175" s="12"/>
      <c r="G175" s="12"/>
      <c r="H175" s="18"/>
      <c r="I175" s="18"/>
      <c r="J175" s="18"/>
    </row>
    <row r="176" customFormat="false" ht="15" hidden="false" customHeight="false" outlineLevel="0" collapsed="false">
      <c r="A176" s="18"/>
      <c r="B176" s="18"/>
      <c r="C176" s="12"/>
      <c r="D176" s="12"/>
      <c r="E176" s="18"/>
      <c r="F176" s="12"/>
      <c r="G176" s="12"/>
      <c r="H176" s="18"/>
      <c r="I176" s="18"/>
      <c r="J176" s="18"/>
    </row>
    <row r="177" customFormat="false" ht="15" hidden="false" customHeight="false" outlineLevel="0" collapsed="false">
      <c r="A177" s="18"/>
      <c r="B177" s="18"/>
      <c r="C177" s="12"/>
      <c r="D177" s="12"/>
      <c r="E177" s="18"/>
      <c r="F177" s="12"/>
      <c r="G177" s="12"/>
      <c r="H177" s="18"/>
      <c r="I177" s="18"/>
      <c r="J177" s="18"/>
    </row>
    <row r="178" customFormat="false" ht="15" hidden="false" customHeight="false" outlineLevel="0" collapsed="false">
      <c r="A178" s="18"/>
      <c r="B178" s="18"/>
      <c r="C178" s="12"/>
      <c r="D178" s="12"/>
      <c r="E178" s="18"/>
      <c r="F178" s="12"/>
      <c r="G178" s="12"/>
      <c r="H178" s="18"/>
      <c r="I178" s="18"/>
      <c r="J178" s="18"/>
    </row>
    <row r="179" customFormat="false" ht="15" hidden="false" customHeight="false" outlineLevel="0" collapsed="false">
      <c r="A179" s="18"/>
      <c r="B179" s="18"/>
      <c r="C179" s="12"/>
      <c r="D179" s="12"/>
      <c r="E179" s="18"/>
      <c r="F179" s="12"/>
      <c r="G179" s="12"/>
      <c r="H179" s="18"/>
      <c r="I179" s="18"/>
      <c r="J179" s="18"/>
    </row>
    <row r="180" customFormat="false" ht="15" hidden="false" customHeight="false" outlineLevel="0" collapsed="false">
      <c r="A180" s="18"/>
      <c r="B180" s="18"/>
      <c r="C180" s="12"/>
      <c r="D180" s="12"/>
      <c r="E180" s="18"/>
      <c r="F180" s="12"/>
      <c r="G180" s="12"/>
      <c r="H180" s="18"/>
      <c r="I180" s="18"/>
      <c r="J180" s="18"/>
    </row>
    <row r="181" customFormat="false" ht="15" hidden="false" customHeight="false" outlineLevel="0" collapsed="false">
      <c r="A181" s="18"/>
      <c r="B181" s="18"/>
      <c r="C181" s="12"/>
      <c r="D181" s="12"/>
      <c r="E181" s="18"/>
      <c r="F181" s="12"/>
      <c r="G181" s="12"/>
      <c r="H181" s="18"/>
      <c r="I181" s="18"/>
      <c r="J181" s="18"/>
    </row>
    <row r="182" customFormat="false" ht="15" hidden="false" customHeight="false" outlineLevel="0" collapsed="false">
      <c r="A182" s="18"/>
      <c r="B182" s="18"/>
      <c r="C182" s="12"/>
      <c r="D182" s="12"/>
      <c r="E182" s="18"/>
      <c r="F182" s="12"/>
      <c r="G182" s="12"/>
      <c r="H182" s="18"/>
      <c r="I182" s="18"/>
      <c r="J182" s="18"/>
    </row>
    <row r="183" customFormat="false" ht="15" hidden="false" customHeight="false" outlineLevel="0" collapsed="false">
      <c r="A183" s="18"/>
      <c r="B183" s="18"/>
      <c r="C183" s="12"/>
      <c r="D183" s="12"/>
      <c r="E183" s="18"/>
      <c r="F183" s="12"/>
      <c r="G183" s="12"/>
      <c r="H183" s="18"/>
      <c r="I183" s="18"/>
      <c r="J183" s="18"/>
    </row>
    <row r="184" customFormat="false" ht="15" hidden="false" customHeight="false" outlineLevel="0" collapsed="false">
      <c r="A184" s="18"/>
      <c r="B184" s="18"/>
      <c r="C184" s="12"/>
      <c r="D184" s="12"/>
      <c r="E184" s="18"/>
      <c r="F184" s="12"/>
      <c r="G184" s="12"/>
      <c r="H184" s="18"/>
      <c r="I184" s="18"/>
      <c r="J184" s="18"/>
    </row>
    <row r="185" customFormat="false" ht="15" hidden="false" customHeight="false" outlineLevel="0" collapsed="false">
      <c r="A185" s="18"/>
      <c r="B185" s="18"/>
      <c r="C185" s="12"/>
      <c r="D185" s="12"/>
      <c r="E185" s="18"/>
      <c r="F185" s="12"/>
      <c r="G185" s="12"/>
      <c r="H185" s="18"/>
      <c r="I185" s="18"/>
      <c r="J185" s="18"/>
    </row>
    <row r="186" customFormat="false" ht="15" hidden="false" customHeight="false" outlineLevel="0" collapsed="false">
      <c r="A186" s="18"/>
      <c r="B186" s="18"/>
      <c r="C186" s="12"/>
      <c r="D186" s="12"/>
      <c r="E186" s="18"/>
      <c r="F186" s="12"/>
      <c r="G186" s="12"/>
      <c r="H186" s="18"/>
      <c r="I186" s="18"/>
      <c r="J186" s="18"/>
    </row>
    <row r="187" customFormat="false" ht="15" hidden="false" customHeight="false" outlineLevel="0" collapsed="false">
      <c r="A187" s="18"/>
      <c r="B187" s="18"/>
      <c r="C187" s="12"/>
      <c r="D187" s="12"/>
      <c r="E187" s="18"/>
      <c r="F187" s="12"/>
      <c r="G187" s="12"/>
      <c r="H187" s="18"/>
      <c r="I187" s="18"/>
      <c r="J187" s="18"/>
    </row>
    <row r="188" customFormat="false" ht="15" hidden="false" customHeight="false" outlineLevel="0" collapsed="false">
      <c r="A188" s="18"/>
      <c r="B188" s="18"/>
      <c r="C188" s="12"/>
      <c r="D188" s="12"/>
      <c r="E188" s="18"/>
      <c r="F188" s="12"/>
      <c r="G188" s="12"/>
      <c r="H188" s="18"/>
      <c r="I188" s="18"/>
      <c r="J188" s="18"/>
    </row>
    <row r="189" customFormat="false" ht="15" hidden="false" customHeight="false" outlineLevel="0" collapsed="false">
      <c r="A189" s="18"/>
      <c r="B189" s="18"/>
      <c r="C189" s="12"/>
      <c r="D189" s="12"/>
      <c r="E189" s="18"/>
      <c r="F189" s="12"/>
      <c r="G189" s="12"/>
      <c r="H189" s="18"/>
      <c r="I189" s="18"/>
      <c r="J189" s="18"/>
    </row>
    <row r="190" customFormat="false" ht="15" hidden="false" customHeight="false" outlineLevel="0" collapsed="false">
      <c r="A190" s="18"/>
      <c r="B190" s="18"/>
      <c r="C190" s="12"/>
      <c r="D190" s="12"/>
      <c r="E190" s="18"/>
      <c r="F190" s="12"/>
      <c r="G190" s="12"/>
      <c r="H190" s="18"/>
      <c r="I190" s="18"/>
      <c r="J190" s="18"/>
    </row>
    <row r="191" customFormat="false" ht="15" hidden="false" customHeight="false" outlineLevel="0" collapsed="false">
      <c r="A191" s="18"/>
      <c r="B191" s="18"/>
      <c r="C191" s="12"/>
      <c r="D191" s="12"/>
      <c r="E191" s="18"/>
      <c r="F191" s="12"/>
      <c r="G191" s="12"/>
      <c r="H191" s="18"/>
      <c r="I191" s="18"/>
      <c r="J191" s="18"/>
    </row>
    <row r="192" customFormat="false" ht="15" hidden="false" customHeight="false" outlineLevel="0" collapsed="false">
      <c r="A192" s="18"/>
      <c r="B192" s="18"/>
      <c r="C192" s="12"/>
      <c r="D192" s="12"/>
      <c r="E192" s="18"/>
      <c r="F192" s="12"/>
      <c r="G192" s="12"/>
      <c r="H192" s="18"/>
      <c r="I192" s="18"/>
      <c r="J192" s="18"/>
    </row>
    <row r="193" customFormat="false" ht="15" hidden="false" customHeight="false" outlineLevel="0" collapsed="false">
      <c r="A193" s="18"/>
      <c r="B193" s="18"/>
      <c r="C193" s="12"/>
      <c r="D193" s="12"/>
      <c r="E193" s="18"/>
      <c r="F193" s="12"/>
      <c r="G193" s="12"/>
      <c r="H193" s="18"/>
      <c r="I193" s="18"/>
      <c r="J193" s="18"/>
    </row>
    <row r="194" customFormat="false" ht="15" hidden="false" customHeight="false" outlineLevel="0" collapsed="false">
      <c r="A194" s="18"/>
      <c r="B194" s="18"/>
      <c r="C194" s="12"/>
      <c r="D194" s="12"/>
      <c r="E194" s="18"/>
      <c r="F194" s="12"/>
      <c r="G194" s="12"/>
      <c r="H194" s="18"/>
      <c r="I194" s="18"/>
      <c r="J194" s="18"/>
    </row>
    <row r="195" customFormat="false" ht="15" hidden="false" customHeight="false" outlineLevel="0" collapsed="false">
      <c r="A195" s="18"/>
      <c r="B195" s="18"/>
      <c r="C195" s="12"/>
      <c r="D195" s="12"/>
      <c r="E195" s="18"/>
      <c r="F195" s="12"/>
      <c r="G195" s="12"/>
      <c r="H195" s="18"/>
      <c r="I195" s="18"/>
      <c r="J195" s="18"/>
    </row>
    <row r="196" customFormat="false" ht="15" hidden="false" customHeight="false" outlineLevel="0" collapsed="false">
      <c r="A196" s="18"/>
      <c r="B196" s="18"/>
      <c r="C196" s="12"/>
      <c r="D196" s="12"/>
      <c r="E196" s="18"/>
      <c r="F196" s="12"/>
      <c r="G196" s="12"/>
      <c r="H196" s="18"/>
      <c r="I196" s="18"/>
      <c r="J196" s="18"/>
    </row>
    <row r="197" customFormat="false" ht="15" hidden="false" customHeight="false" outlineLevel="0" collapsed="false">
      <c r="A197" s="18"/>
      <c r="B197" s="18"/>
      <c r="C197" s="12"/>
      <c r="D197" s="12"/>
      <c r="E197" s="18"/>
      <c r="F197" s="12"/>
      <c r="G197" s="12"/>
      <c r="H197" s="18"/>
      <c r="I197" s="18"/>
      <c r="J197" s="18"/>
    </row>
    <row r="198" customFormat="false" ht="15" hidden="false" customHeight="false" outlineLevel="0" collapsed="false">
      <c r="A198" s="18"/>
      <c r="B198" s="18"/>
      <c r="C198" s="12"/>
      <c r="D198" s="12"/>
      <c r="E198" s="18"/>
      <c r="F198" s="12"/>
      <c r="G198" s="12"/>
      <c r="H198" s="18"/>
      <c r="I198" s="18"/>
      <c r="J198" s="18"/>
    </row>
    <row r="199" customFormat="false" ht="15" hidden="false" customHeight="false" outlineLevel="0" collapsed="false">
      <c r="A199" s="18"/>
      <c r="B199" s="18"/>
      <c r="C199" s="12"/>
      <c r="D199" s="12"/>
      <c r="E199" s="18"/>
      <c r="F199" s="12"/>
      <c r="G199" s="12"/>
      <c r="H199" s="18"/>
      <c r="I199" s="18"/>
      <c r="J199" s="18"/>
    </row>
    <row r="200" customFormat="false" ht="15" hidden="false" customHeight="false" outlineLevel="0" collapsed="false">
      <c r="A200" s="18"/>
      <c r="B200" s="18"/>
      <c r="C200" s="12"/>
      <c r="D200" s="12"/>
      <c r="E200" s="18"/>
      <c r="F200" s="12"/>
      <c r="G200" s="12"/>
      <c r="H200" s="18"/>
      <c r="I200" s="18"/>
      <c r="J200" s="18"/>
    </row>
    <row r="201" customFormat="false" ht="15" hidden="false" customHeight="false" outlineLevel="0" collapsed="false">
      <c r="A201" s="18"/>
      <c r="B201" s="18"/>
      <c r="C201" s="12"/>
      <c r="D201" s="12"/>
      <c r="E201" s="18"/>
      <c r="F201" s="12"/>
      <c r="G201" s="12"/>
      <c r="H201" s="18"/>
      <c r="I201" s="18"/>
      <c r="J201" s="18"/>
    </row>
    <row r="202" customFormat="false" ht="15" hidden="false" customHeight="false" outlineLevel="0" collapsed="false">
      <c r="A202" s="18"/>
      <c r="B202" s="18"/>
      <c r="C202" s="12"/>
      <c r="D202" s="12"/>
      <c r="E202" s="18"/>
      <c r="F202" s="12"/>
      <c r="G202" s="12"/>
      <c r="H202" s="18"/>
      <c r="I202" s="18"/>
      <c r="J202" s="18"/>
    </row>
    <row r="203" customFormat="false" ht="15" hidden="false" customHeight="false" outlineLevel="0" collapsed="false">
      <c r="A203" s="18"/>
      <c r="B203" s="18"/>
      <c r="C203" s="12"/>
      <c r="D203" s="12"/>
      <c r="E203" s="18"/>
      <c r="F203" s="12"/>
      <c r="G203" s="12"/>
      <c r="H203" s="18"/>
      <c r="I203" s="18"/>
      <c r="J203" s="18"/>
    </row>
    <row r="204" customFormat="false" ht="15" hidden="false" customHeight="false" outlineLevel="0" collapsed="false">
      <c r="A204" s="18"/>
      <c r="B204" s="18"/>
      <c r="C204" s="12"/>
      <c r="D204" s="12"/>
      <c r="E204" s="18"/>
      <c r="F204" s="12"/>
      <c r="G204" s="12"/>
      <c r="H204" s="18"/>
      <c r="I204" s="18"/>
      <c r="J204" s="18"/>
    </row>
    <row r="205" customFormat="false" ht="15" hidden="false" customHeight="false" outlineLevel="0" collapsed="false">
      <c r="A205" s="18"/>
      <c r="B205" s="18"/>
      <c r="C205" s="12"/>
      <c r="D205" s="12"/>
      <c r="E205" s="18"/>
      <c r="F205" s="12"/>
      <c r="G205" s="12"/>
      <c r="H205" s="18"/>
      <c r="I205" s="18"/>
      <c r="J205" s="18"/>
    </row>
    <row r="206" customFormat="false" ht="15" hidden="false" customHeight="false" outlineLevel="0" collapsed="false">
      <c r="A206" s="18"/>
      <c r="B206" s="18"/>
      <c r="C206" s="12"/>
      <c r="D206" s="12"/>
      <c r="E206" s="18"/>
      <c r="F206" s="12"/>
      <c r="G206" s="12"/>
      <c r="H206" s="18"/>
      <c r="I206" s="18"/>
      <c r="J206" s="18"/>
    </row>
    <row r="207" customFormat="false" ht="15" hidden="false" customHeight="false" outlineLevel="0" collapsed="false">
      <c r="A207" s="18"/>
      <c r="B207" s="18"/>
      <c r="C207" s="12"/>
      <c r="D207" s="12"/>
      <c r="E207" s="18"/>
      <c r="F207" s="12"/>
      <c r="G207" s="12"/>
      <c r="H207" s="18"/>
      <c r="I207" s="18"/>
      <c r="J207" s="18"/>
    </row>
    <row r="208" customFormat="false" ht="15" hidden="false" customHeight="false" outlineLevel="0" collapsed="false">
      <c r="A208" s="18"/>
      <c r="B208" s="18"/>
      <c r="C208" s="12"/>
      <c r="D208" s="12"/>
      <c r="E208" s="18"/>
      <c r="F208" s="12"/>
      <c r="G208" s="12"/>
      <c r="H208" s="18"/>
      <c r="I208" s="18"/>
      <c r="J208" s="18"/>
    </row>
    <row r="209" customFormat="false" ht="15" hidden="false" customHeight="false" outlineLevel="0" collapsed="false">
      <c r="A209" s="18"/>
      <c r="B209" s="18"/>
      <c r="C209" s="12"/>
      <c r="D209" s="12"/>
      <c r="E209" s="18"/>
      <c r="F209" s="12"/>
      <c r="G209" s="12"/>
      <c r="H209" s="18"/>
      <c r="I209" s="18"/>
      <c r="J209" s="18"/>
    </row>
    <row r="210" customFormat="false" ht="15" hidden="false" customHeight="false" outlineLevel="0" collapsed="false">
      <c r="A210" s="18"/>
      <c r="B210" s="18"/>
      <c r="C210" s="12"/>
      <c r="D210" s="12"/>
      <c r="E210" s="18"/>
      <c r="F210" s="12"/>
      <c r="G210" s="12"/>
      <c r="H210" s="18"/>
      <c r="I210" s="18"/>
      <c r="J210" s="18"/>
    </row>
    <row r="211" customFormat="false" ht="15" hidden="false" customHeight="false" outlineLevel="0" collapsed="false">
      <c r="A211" s="18"/>
      <c r="B211" s="18"/>
      <c r="C211" s="12"/>
      <c r="D211" s="12"/>
      <c r="E211" s="18"/>
      <c r="F211" s="12"/>
      <c r="G211" s="12"/>
      <c r="H211" s="18"/>
      <c r="I211" s="18"/>
      <c r="J211" s="18"/>
    </row>
    <row r="212" customFormat="false" ht="15" hidden="false" customHeight="false" outlineLevel="0" collapsed="false">
      <c r="A212" s="18"/>
      <c r="B212" s="18"/>
      <c r="C212" s="12"/>
      <c r="D212" s="12"/>
      <c r="E212" s="18"/>
      <c r="F212" s="12"/>
      <c r="G212" s="12"/>
      <c r="H212" s="18"/>
      <c r="I212" s="18"/>
      <c r="J212" s="18"/>
    </row>
    <row r="213" customFormat="false" ht="15" hidden="false" customHeight="false" outlineLevel="0" collapsed="false">
      <c r="A213" s="18"/>
      <c r="B213" s="18"/>
      <c r="C213" s="12"/>
      <c r="D213" s="12"/>
      <c r="E213" s="18"/>
      <c r="F213" s="12"/>
      <c r="G213" s="12"/>
      <c r="H213" s="18"/>
      <c r="I213" s="18"/>
      <c r="J213" s="18"/>
    </row>
    <row r="214" customFormat="false" ht="15" hidden="false" customHeight="false" outlineLevel="0" collapsed="false">
      <c r="A214" s="18"/>
      <c r="B214" s="18"/>
      <c r="C214" s="12"/>
      <c r="D214" s="12"/>
      <c r="E214" s="18"/>
      <c r="F214" s="12"/>
      <c r="G214" s="12"/>
      <c r="H214" s="18"/>
      <c r="I214" s="18"/>
      <c r="J214" s="18"/>
    </row>
    <row r="215" customFormat="false" ht="15" hidden="false" customHeight="false" outlineLevel="0" collapsed="false">
      <c r="A215" s="18"/>
      <c r="B215" s="18"/>
      <c r="C215" s="12"/>
      <c r="D215" s="12"/>
      <c r="E215" s="18"/>
      <c r="F215" s="12"/>
      <c r="G215" s="12"/>
      <c r="H215" s="18"/>
      <c r="I215" s="18"/>
      <c r="J215" s="18"/>
    </row>
    <row r="216" customFormat="false" ht="15" hidden="false" customHeight="false" outlineLevel="0" collapsed="false">
      <c r="A216" s="18"/>
      <c r="B216" s="18"/>
      <c r="C216" s="12"/>
      <c r="D216" s="12"/>
      <c r="E216" s="18"/>
      <c r="F216" s="12"/>
      <c r="G216" s="12"/>
      <c r="H216" s="18"/>
      <c r="I216" s="18"/>
      <c r="J216" s="18"/>
    </row>
    <row r="217" customFormat="false" ht="15" hidden="false" customHeight="false" outlineLevel="0" collapsed="false">
      <c r="A217" s="18"/>
      <c r="B217" s="18"/>
      <c r="C217" s="12"/>
      <c r="D217" s="12"/>
      <c r="E217" s="18"/>
      <c r="F217" s="12"/>
      <c r="G217" s="12"/>
      <c r="H217" s="18"/>
      <c r="I217" s="18"/>
      <c r="J217" s="18"/>
    </row>
    <row r="218" customFormat="false" ht="15" hidden="false" customHeight="false" outlineLevel="0" collapsed="false">
      <c r="A218" s="18"/>
      <c r="B218" s="18"/>
      <c r="C218" s="12"/>
      <c r="D218" s="12"/>
      <c r="E218" s="18"/>
      <c r="F218" s="12"/>
      <c r="G218" s="12"/>
      <c r="H218" s="18"/>
      <c r="I218" s="18"/>
      <c r="J218" s="18"/>
    </row>
    <row r="219" customFormat="false" ht="15" hidden="false" customHeight="false" outlineLevel="0" collapsed="false">
      <c r="A219" s="18"/>
      <c r="B219" s="18"/>
      <c r="C219" s="12"/>
      <c r="D219" s="12"/>
      <c r="E219" s="18"/>
      <c r="F219" s="12"/>
      <c r="G219" s="12"/>
      <c r="H219" s="18"/>
      <c r="I219" s="18"/>
      <c r="J219" s="18"/>
    </row>
    <row r="220" customFormat="false" ht="15" hidden="false" customHeight="false" outlineLevel="0" collapsed="false">
      <c r="A220" s="18"/>
      <c r="B220" s="18"/>
      <c r="C220" s="12"/>
      <c r="D220" s="12"/>
      <c r="E220" s="18"/>
      <c r="F220" s="12"/>
      <c r="G220" s="12"/>
      <c r="H220" s="18"/>
      <c r="I220" s="18"/>
      <c r="J220" s="18"/>
    </row>
    <row r="221" customFormat="false" ht="15" hidden="false" customHeight="false" outlineLevel="0" collapsed="false">
      <c r="A221" s="18"/>
      <c r="B221" s="18"/>
      <c r="C221" s="12"/>
      <c r="D221" s="12"/>
      <c r="E221" s="18"/>
      <c r="F221" s="12"/>
      <c r="G221" s="12"/>
      <c r="H221" s="18"/>
      <c r="I221" s="18"/>
      <c r="J221" s="18"/>
    </row>
    <row r="222" customFormat="false" ht="15" hidden="false" customHeight="false" outlineLevel="0" collapsed="false">
      <c r="A222" s="18"/>
      <c r="B222" s="18"/>
      <c r="C222" s="12"/>
      <c r="D222" s="12"/>
      <c r="E222" s="18"/>
      <c r="F222" s="12"/>
      <c r="G222" s="12"/>
      <c r="H222" s="18"/>
      <c r="I222" s="18"/>
      <c r="J222" s="18"/>
    </row>
    <row r="223" customFormat="false" ht="15" hidden="false" customHeight="false" outlineLevel="0" collapsed="false">
      <c r="A223" s="18"/>
      <c r="B223" s="18"/>
      <c r="C223" s="12"/>
      <c r="D223" s="12"/>
      <c r="E223" s="18"/>
      <c r="F223" s="12"/>
      <c r="G223" s="12"/>
      <c r="H223" s="18"/>
      <c r="I223" s="18"/>
      <c r="J223" s="18"/>
    </row>
    <row r="224" customFormat="false" ht="15" hidden="false" customHeight="false" outlineLevel="0" collapsed="false">
      <c r="A224" s="18"/>
      <c r="B224" s="18"/>
      <c r="C224" s="12"/>
      <c r="D224" s="12"/>
      <c r="E224" s="18"/>
      <c r="F224" s="12"/>
      <c r="G224" s="12"/>
      <c r="H224" s="18"/>
      <c r="I224" s="18"/>
      <c r="J224" s="18"/>
    </row>
    <row r="225" customFormat="false" ht="15" hidden="false" customHeight="false" outlineLevel="0" collapsed="false">
      <c r="A225" s="18"/>
      <c r="B225" s="18"/>
      <c r="C225" s="12"/>
      <c r="D225" s="12"/>
      <c r="E225" s="18"/>
      <c r="F225" s="12"/>
      <c r="G225" s="12"/>
      <c r="H225" s="18"/>
      <c r="I225" s="18"/>
      <c r="J225" s="18"/>
    </row>
    <row r="226" customFormat="false" ht="15" hidden="false" customHeight="false" outlineLevel="0" collapsed="false">
      <c r="A226" s="18"/>
      <c r="B226" s="18"/>
      <c r="C226" s="12"/>
      <c r="D226" s="12"/>
      <c r="E226" s="18"/>
      <c r="F226" s="12"/>
      <c r="G226" s="12"/>
      <c r="H226" s="18"/>
      <c r="I226" s="18"/>
      <c r="J226" s="18"/>
    </row>
    <row r="227" customFormat="false" ht="15" hidden="false" customHeight="false" outlineLevel="0" collapsed="false">
      <c r="A227" s="18"/>
      <c r="B227" s="18"/>
      <c r="C227" s="12"/>
      <c r="D227" s="12"/>
      <c r="E227" s="18"/>
      <c r="F227" s="12"/>
      <c r="G227" s="12"/>
      <c r="H227" s="18"/>
      <c r="I227" s="18"/>
      <c r="J227" s="18"/>
    </row>
    <row r="228" customFormat="false" ht="15" hidden="false" customHeight="false" outlineLevel="0" collapsed="false">
      <c r="A228" s="18"/>
      <c r="B228" s="18"/>
      <c r="C228" s="12"/>
      <c r="D228" s="12"/>
      <c r="E228" s="18"/>
      <c r="F228" s="12"/>
      <c r="G228" s="12"/>
      <c r="H228" s="18"/>
      <c r="I228" s="18"/>
      <c r="J228" s="18"/>
    </row>
    <row r="229" customFormat="false" ht="15" hidden="false" customHeight="false" outlineLevel="0" collapsed="false">
      <c r="A229" s="18"/>
      <c r="B229" s="18"/>
      <c r="C229" s="12"/>
      <c r="D229" s="12"/>
      <c r="E229" s="18"/>
      <c r="F229" s="12"/>
      <c r="G229" s="12"/>
      <c r="H229" s="18"/>
      <c r="I229" s="18"/>
      <c r="J229" s="18"/>
    </row>
    <row r="230" customFormat="false" ht="15" hidden="false" customHeight="false" outlineLevel="0" collapsed="false">
      <c r="A230" s="18"/>
      <c r="B230" s="18"/>
      <c r="C230" s="12"/>
      <c r="D230" s="12"/>
      <c r="E230" s="18"/>
      <c r="F230" s="12"/>
      <c r="G230" s="12"/>
      <c r="H230" s="18"/>
      <c r="I230" s="18"/>
      <c r="J230" s="18"/>
    </row>
    <row r="231" customFormat="false" ht="15" hidden="false" customHeight="false" outlineLevel="0" collapsed="false">
      <c r="A231" s="18"/>
      <c r="B231" s="18"/>
      <c r="C231" s="12"/>
      <c r="D231" s="12"/>
      <c r="E231" s="18"/>
      <c r="F231" s="12"/>
      <c r="G231" s="12"/>
      <c r="H231" s="18"/>
      <c r="I231" s="18"/>
      <c r="J231" s="18"/>
    </row>
    <row r="232" customFormat="false" ht="15" hidden="false" customHeight="false" outlineLevel="0" collapsed="false">
      <c r="A232" s="18"/>
      <c r="B232" s="18"/>
      <c r="C232" s="12"/>
      <c r="D232" s="12"/>
      <c r="E232" s="18"/>
      <c r="F232" s="12"/>
      <c r="G232" s="12"/>
      <c r="H232" s="18"/>
      <c r="I232" s="18"/>
      <c r="J232" s="18"/>
    </row>
    <row r="233" customFormat="false" ht="15" hidden="false" customHeight="false" outlineLevel="0" collapsed="false">
      <c r="A233" s="18"/>
      <c r="B233" s="18"/>
      <c r="C233" s="12"/>
      <c r="D233" s="12"/>
      <c r="E233" s="18"/>
      <c r="F233" s="12"/>
      <c r="G233" s="12"/>
      <c r="H233" s="18"/>
      <c r="I233" s="18"/>
      <c r="J233" s="18"/>
    </row>
    <row r="234" customFormat="false" ht="15" hidden="false" customHeight="false" outlineLevel="0" collapsed="false">
      <c r="A234" s="18"/>
      <c r="B234" s="18"/>
      <c r="C234" s="12"/>
      <c r="D234" s="12"/>
      <c r="E234" s="18"/>
      <c r="F234" s="12"/>
      <c r="G234" s="12"/>
      <c r="H234" s="18"/>
      <c r="I234" s="18"/>
      <c r="J234" s="18"/>
    </row>
    <row r="235" customFormat="false" ht="15" hidden="false" customHeight="false" outlineLevel="0" collapsed="false">
      <c r="A235" s="18"/>
      <c r="B235" s="18"/>
      <c r="C235" s="12"/>
      <c r="D235" s="12"/>
      <c r="E235" s="18"/>
      <c r="F235" s="12"/>
      <c r="G235" s="12"/>
      <c r="H235" s="18"/>
      <c r="I235" s="18"/>
      <c r="J235" s="18"/>
    </row>
    <row r="236" customFormat="false" ht="15" hidden="false" customHeight="false" outlineLevel="0" collapsed="false">
      <c r="A236" s="18"/>
      <c r="B236" s="18"/>
      <c r="C236" s="12"/>
      <c r="D236" s="12"/>
      <c r="E236" s="18"/>
      <c r="F236" s="12"/>
      <c r="G236" s="12"/>
      <c r="H236" s="18"/>
      <c r="I236" s="18"/>
      <c r="J236" s="18"/>
    </row>
    <row r="237" customFormat="false" ht="15" hidden="false" customHeight="false" outlineLevel="0" collapsed="false">
      <c r="A237" s="18"/>
      <c r="B237" s="18"/>
      <c r="C237" s="12"/>
      <c r="D237" s="12"/>
      <c r="E237" s="18"/>
      <c r="F237" s="12"/>
      <c r="G237" s="12"/>
      <c r="H237" s="18"/>
      <c r="I237" s="18"/>
      <c r="J237" s="18"/>
    </row>
    <row r="238" customFormat="false" ht="15" hidden="false" customHeight="false" outlineLevel="0" collapsed="false">
      <c r="A238" s="18"/>
      <c r="B238" s="18"/>
      <c r="C238" s="12"/>
      <c r="D238" s="12"/>
      <c r="E238" s="18"/>
      <c r="F238" s="12"/>
      <c r="G238" s="12"/>
      <c r="H238" s="18"/>
      <c r="I238" s="18"/>
      <c r="J238" s="18"/>
    </row>
    <row r="239" customFormat="false" ht="15" hidden="false" customHeight="false" outlineLevel="0" collapsed="false">
      <c r="A239" s="18"/>
      <c r="B239" s="18"/>
      <c r="C239" s="12"/>
      <c r="D239" s="12"/>
      <c r="E239" s="18"/>
      <c r="F239" s="12"/>
      <c r="G239" s="12"/>
      <c r="H239" s="18"/>
      <c r="I239" s="18"/>
      <c r="J239" s="18"/>
    </row>
    <row r="240" customFormat="false" ht="15" hidden="false" customHeight="false" outlineLevel="0" collapsed="false">
      <c r="A240" s="18"/>
      <c r="B240" s="18"/>
      <c r="C240" s="12"/>
      <c r="D240" s="12"/>
      <c r="E240" s="18"/>
      <c r="F240" s="12"/>
      <c r="G240" s="12"/>
      <c r="H240" s="18"/>
      <c r="I240" s="18"/>
      <c r="J240" s="18"/>
    </row>
    <row r="241" customFormat="false" ht="15" hidden="false" customHeight="false" outlineLevel="0" collapsed="false">
      <c r="A241" s="18"/>
      <c r="B241" s="18"/>
      <c r="C241" s="12"/>
      <c r="D241" s="12"/>
      <c r="E241" s="18"/>
      <c r="F241" s="12"/>
      <c r="G241" s="12"/>
      <c r="H241" s="18"/>
      <c r="I241" s="18"/>
      <c r="J241" s="18"/>
    </row>
    <row r="242" customFormat="false" ht="15" hidden="false" customHeight="false" outlineLevel="0" collapsed="false">
      <c r="A242" s="18"/>
      <c r="B242" s="18"/>
      <c r="C242" s="12"/>
      <c r="D242" s="12"/>
      <c r="E242" s="18"/>
      <c r="F242" s="12"/>
      <c r="G242" s="12"/>
      <c r="H242" s="18"/>
      <c r="I242" s="18"/>
      <c r="J242" s="18"/>
    </row>
    <row r="243" customFormat="false" ht="15" hidden="false" customHeight="false" outlineLevel="0" collapsed="false">
      <c r="A243" s="18"/>
      <c r="B243" s="18"/>
      <c r="C243" s="12"/>
      <c r="D243" s="12"/>
      <c r="E243" s="18"/>
      <c r="F243" s="12"/>
      <c r="G243" s="12"/>
      <c r="H243" s="18"/>
      <c r="I243" s="18"/>
      <c r="J243" s="18"/>
    </row>
    <row r="244" customFormat="false" ht="15" hidden="false" customHeight="false" outlineLevel="0" collapsed="false">
      <c r="A244" s="18"/>
      <c r="B244" s="18"/>
      <c r="C244" s="12"/>
      <c r="D244" s="12"/>
      <c r="E244" s="18"/>
      <c r="F244" s="12"/>
      <c r="G244" s="12"/>
      <c r="H244" s="18"/>
      <c r="I244" s="18"/>
      <c r="J244" s="18"/>
    </row>
    <row r="245" customFormat="false" ht="15" hidden="false" customHeight="false" outlineLevel="0" collapsed="false">
      <c r="A245" s="18"/>
      <c r="B245" s="18"/>
      <c r="C245" s="12"/>
      <c r="D245" s="12"/>
      <c r="E245" s="18"/>
      <c r="F245" s="12"/>
      <c r="G245" s="12"/>
      <c r="H245" s="18"/>
      <c r="I245" s="18"/>
      <c r="J245" s="18"/>
    </row>
    <row r="246" customFormat="false" ht="15" hidden="false" customHeight="false" outlineLevel="0" collapsed="false">
      <c r="A246" s="18"/>
      <c r="B246" s="18"/>
      <c r="C246" s="12"/>
      <c r="D246" s="12"/>
      <c r="E246" s="18"/>
      <c r="F246" s="12"/>
      <c r="G246" s="12"/>
      <c r="H246" s="18"/>
      <c r="I246" s="18"/>
      <c r="J246" s="18"/>
    </row>
    <row r="247" customFormat="false" ht="15" hidden="false" customHeight="false" outlineLevel="0" collapsed="false">
      <c r="A247" s="18"/>
      <c r="B247" s="18"/>
      <c r="C247" s="12"/>
      <c r="D247" s="12"/>
      <c r="E247" s="18"/>
      <c r="F247" s="12"/>
      <c r="G247" s="12"/>
      <c r="H247" s="18"/>
      <c r="I247" s="18"/>
      <c r="J247" s="18"/>
    </row>
    <row r="248" customFormat="false" ht="15" hidden="false" customHeight="false" outlineLevel="0" collapsed="false">
      <c r="A248" s="18"/>
      <c r="B248" s="18"/>
      <c r="C248" s="12"/>
      <c r="D248" s="12"/>
      <c r="E248" s="18"/>
      <c r="F248" s="12"/>
      <c r="G248" s="12"/>
      <c r="H248" s="18"/>
      <c r="I248" s="18"/>
      <c r="J248" s="18"/>
    </row>
    <row r="249" customFormat="false" ht="15" hidden="false" customHeight="false" outlineLevel="0" collapsed="false">
      <c r="A249" s="18"/>
      <c r="B249" s="18"/>
      <c r="C249" s="12"/>
      <c r="D249" s="12"/>
      <c r="E249" s="18"/>
      <c r="F249" s="12"/>
      <c r="G249" s="12"/>
      <c r="H249" s="18"/>
      <c r="I249" s="18"/>
      <c r="J249" s="18"/>
    </row>
    <row r="250" customFormat="false" ht="15" hidden="false" customHeight="false" outlineLevel="0" collapsed="false">
      <c r="A250" s="18"/>
      <c r="B250" s="18"/>
      <c r="C250" s="12"/>
      <c r="D250" s="12"/>
      <c r="E250" s="18"/>
      <c r="F250" s="12"/>
      <c r="G250" s="12"/>
      <c r="H250" s="18"/>
      <c r="I250" s="18"/>
      <c r="J250" s="18"/>
    </row>
    <row r="251" customFormat="false" ht="15" hidden="false" customHeight="false" outlineLevel="0" collapsed="false">
      <c r="A251" s="18"/>
      <c r="B251" s="18"/>
      <c r="C251" s="12"/>
      <c r="D251" s="12"/>
      <c r="E251" s="18"/>
      <c r="F251" s="12"/>
      <c r="G251" s="12"/>
      <c r="H251" s="18"/>
      <c r="I251" s="18"/>
      <c r="J251" s="18"/>
    </row>
    <row r="252" customFormat="false" ht="15" hidden="false" customHeight="false" outlineLevel="0" collapsed="false">
      <c r="A252" s="18"/>
      <c r="B252" s="18"/>
      <c r="C252" s="12"/>
      <c r="D252" s="12"/>
      <c r="E252" s="18"/>
      <c r="F252" s="12"/>
      <c r="G252" s="12"/>
      <c r="H252" s="18"/>
      <c r="I252" s="18"/>
      <c r="J252" s="18"/>
    </row>
    <row r="253" customFormat="false" ht="15" hidden="false" customHeight="false" outlineLevel="0" collapsed="false">
      <c r="A253" s="18"/>
      <c r="B253" s="18"/>
      <c r="C253" s="12"/>
      <c r="D253" s="12"/>
      <c r="E253" s="18"/>
      <c r="F253" s="12"/>
      <c r="G253" s="12"/>
      <c r="H253" s="18"/>
      <c r="I253" s="18"/>
      <c r="J253" s="18"/>
    </row>
    <row r="254" customFormat="false" ht="15" hidden="false" customHeight="false" outlineLevel="0" collapsed="false">
      <c r="A254" s="18"/>
      <c r="B254" s="18"/>
      <c r="C254" s="12"/>
      <c r="D254" s="12"/>
      <c r="E254" s="18"/>
      <c r="F254" s="12"/>
      <c r="G254" s="12"/>
      <c r="H254" s="18"/>
      <c r="I254" s="18"/>
      <c r="J254" s="18"/>
    </row>
    <row r="255" customFormat="false" ht="15" hidden="false" customHeight="false" outlineLevel="0" collapsed="false">
      <c r="A255" s="18"/>
      <c r="B255" s="18"/>
      <c r="C255" s="12"/>
      <c r="D255" s="12"/>
      <c r="E255" s="18"/>
      <c r="F255" s="12"/>
      <c r="G255" s="12"/>
      <c r="H255" s="18"/>
      <c r="I255" s="18"/>
      <c r="J255" s="18"/>
    </row>
    <row r="256" customFormat="false" ht="15" hidden="false" customHeight="false" outlineLevel="0" collapsed="false">
      <c r="A256" s="18"/>
      <c r="B256" s="18"/>
      <c r="C256" s="12"/>
      <c r="D256" s="12"/>
      <c r="E256" s="18"/>
      <c r="F256" s="12"/>
      <c r="G256" s="12"/>
      <c r="H256" s="18"/>
      <c r="I256" s="18"/>
      <c r="J256" s="18"/>
    </row>
    <row r="257" customFormat="false" ht="15" hidden="false" customHeight="false" outlineLevel="0" collapsed="false">
      <c r="A257" s="18"/>
      <c r="B257" s="18"/>
      <c r="C257" s="12"/>
      <c r="D257" s="12"/>
      <c r="E257" s="18"/>
      <c r="F257" s="12"/>
      <c r="G257" s="12"/>
      <c r="H257" s="18"/>
      <c r="I257" s="18"/>
      <c r="J257" s="18"/>
    </row>
    <row r="258" customFormat="false" ht="15" hidden="false" customHeight="false" outlineLevel="0" collapsed="false">
      <c r="A258" s="18"/>
      <c r="B258" s="18"/>
      <c r="C258" s="12"/>
      <c r="D258" s="12"/>
      <c r="E258" s="18"/>
      <c r="F258" s="12"/>
      <c r="G258" s="12"/>
      <c r="H258" s="18"/>
      <c r="I258" s="18"/>
      <c r="J258" s="18"/>
    </row>
    <row r="259" customFormat="false" ht="15" hidden="false" customHeight="false" outlineLevel="0" collapsed="false">
      <c r="A259" s="18"/>
      <c r="B259" s="18"/>
      <c r="C259" s="12"/>
      <c r="D259" s="12"/>
      <c r="E259" s="18"/>
      <c r="F259" s="12"/>
      <c r="G259" s="12"/>
      <c r="H259" s="18"/>
      <c r="I259" s="18"/>
      <c r="J259" s="18"/>
    </row>
    <row r="260" customFormat="false" ht="15" hidden="false" customHeight="false" outlineLevel="0" collapsed="false">
      <c r="A260" s="18"/>
      <c r="B260" s="18"/>
      <c r="C260" s="12"/>
      <c r="D260" s="12"/>
      <c r="E260" s="18"/>
      <c r="F260" s="12"/>
      <c r="G260" s="12"/>
      <c r="H260" s="18"/>
      <c r="I260" s="18"/>
      <c r="J260" s="18"/>
    </row>
    <row r="261" customFormat="false" ht="15" hidden="false" customHeight="false" outlineLevel="0" collapsed="false">
      <c r="A261" s="18"/>
      <c r="B261" s="18"/>
      <c r="C261" s="12"/>
      <c r="D261" s="12"/>
      <c r="E261" s="18"/>
      <c r="F261" s="12"/>
      <c r="G261" s="12"/>
      <c r="H261" s="18"/>
      <c r="I261" s="18"/>
      <c r="J261" s="18"/>
    </row>
    <row r="262" customFormat="false" ht="15" hidden="false" customHeight="false" outlineLevel="0" collapsed="false">
      <c r="A262" s="18"/>
      <c r="B262" s="18"/>
      <c r="C262" s="12"/>
      <c r="D262" s="12"/>
      <c r="E262" s="18"/>
      <c r="F262" s="12"/>
      <c r="G262" s="12"/>
      <c r="H262" s="18"/>
      <c r="I262" s="18"/>
      <c r="J262" s="18"/>
    </row>
    <row r="263" customFormat="false" ht="15" hidden="false" customHeight="false" outlineLevel="0" collapsed="false">
      <c r="A263" s="18"/>
      <c r="B263" s="18"/>
      <c r="C263" s="12"/>
      <c r="D263" s="12"/>
      <c r="E263" s="18"/>
      <c r="F263" s="12"/>
      <c r="G263" s="12"/>
      <c r="H263" s="18"/>
      <c r="I263" s="18"/>
      <c r="J263" s="18"/>
    </row>
    <row r="264" customFormat="false" ht="15" hidden="false" customHeight="false" outlineLevel="0" collapsed="false">
      <c r="A264" s="18"/>
      <c r="B264" s="18"/>
      <c r="C264" s="12"/>
      <c r="D264" s="12"/>
      <c r="E264" s="18"/>
      <c r="F264" s="12"/>
      <c r="G264" s="12"/>
      <c r="H264" s="18"/>
      <c r="I264" s="18"/>
      <c r="J264" s="18"/>
    </row>
    <row r="265" customFormat="false" ht="15" hidden="false" customHeight="false" outlineLevel="0" collapsed="false">
      <c r="A265" s="18"/>
      <c r="B265" s="18"/>
      <c r="C265" s="12"/>
      <c r="D265" s="12"/>
      <c r="E265" s="18"/>
      <c r="F265" s="12"/>
      <c r="G265" s="12"/>
      <c r="H265" s="18"/>
      <c r="I265" s="18"/>
      <c r="J265" s="18"/>
    </row>
    <row r="266" customFormat="false" ht="15" hidden="false" customHeight="false" outlineLevel="0" collapsed="false">
      <c r="A266" s="18"/>
      <c r="B266" s="18"/>
      <c r="C266" s="12"/>
      <c r="D266" s="12"/>
      <c r="E266" s="18"/>
      <c r="F266" s="12"/>
      <c r="G266" s="12"/>
      <c r="H266" s="18"/>
      <c r="I266" s="18"/>
      <c r="J266" s="18"/>
    </row>
    <row r="267" customFormat="false" ht="15" hidden="false" customHeight="false" outlineLevel="0" collapsed="false">
      <c r="A267" s="18"/>
      <c r="B267" s="18"/>
      <c r="C267" s="12"/>
      <c r="D267" s="12"/>
      <c r="E267" s="18"/>
      <c r="F267" s="12"/>
      <c r="G267" s="12"/>
      <c r="H267" s="18"/>
      <c r="I267" s="18"/>
      <c r="J267" s="18"/>
    </row>
    <row r="268" customFormat="false" ht="15" hidden="false" customHeight="false" outlineLevel="0" collapsed="false">
      <c r="A268" s="18"/>
      <c r="B268" s="18"/>
      <c r="C268" s="12"/>
      <c r="D268" s="12"/>
      <c r="E268" s="18"/>
      <c r="F268" s="12"/>
      <c r="G268" s="12"/>
      <c r="H268" s="18"/>
      <c r="I268" s="18"/>
      <c r="J268" s="18"/>
    </row>
    <row r="269" customFormat="false" ht="15" hidden="false" customHeight="false" outlineLevel="0" collapsed="false">
      <c r="A269" s="18"/>
      <c r="B269" s="18"/>
      <c r="C269" s="12"/>
      <c r="D269" s="12"/>
      <c r="E269" s="18"/>
      <c r="F269" s="12"/>
      <c r="G269" s="12"/>
      <c r="H269" s="18"/>
      <c r="I269" s="18"/>
      <c r="J269" s="18"/>
    </row>
    <row r="270" customFormat="false" ht="15" hidden="false" customHeight="false" outlineLevel="0" collapsed="false">
      <c r="A270" s="18"/>
      <c r="B270" s="18"/>
      <c r="C270" s="12"/>
      <c r="D270" s="12"/>
      <c r="E270" s="18"/>
      <c r="F270" s="12"/>
      <c r="G270" s="12"/>
      <c r="H270" s="18"/>
      <c r="I270" s="18"/>
      <c r="J270" s="18"/>
    </row>
    <row r="271" customFormat="false" ht="15" hidden="false" customHeight="false" outlineLevel="0" collapsed="false">
      <c r="A271" s="18"/>
      <c r="B271" s="18"/>
      <c r="C271" s="12"/>
      <c r="D271" s="12"/>
      <c r="E271" s="18"/>
      <c r="F271" s="12"/>
      <c r="G271" s="12"/>
      <c r="H271" s="18"/>
      <c r="I271" s="18"/>
      <c r="J271" s="18"/>
    </row>
    <row r="272" customFormat="false" ht="15" hidden="false" customHeight="false" outlineLevel="0" collapsed="false">
      <c r="A272" s="18"/>
      <c r="B272" s="18"/>
      <c r="C272" s="12"/>
      <c r="D272" s="12"/>
      <c r="E272" s="18"/>
      <c r="F272" s="12"/>
      <c r="G272" s="12"/>
      <c r="H272" s="18"/>
      <c r="I272" s="18"/>
      <c r="J272" s="18"/>
    </row>
    <row r="273" customFormat="false" ht="15" hidden="false" customHeight="false" outlineLevel="0" collapsed="false">
      <c r="A273" s="18"/>
      <c r="B273" s="18"/>
      <c r="C273" s="12"/>
      <c r="D273" s="12"/>
      <c r="E273" s="18"/>
      <c r="F273" s="12"/>
      <c r="G273" s="12"/>
      <c r="H273" s="18"/>
      <c r="I273" s="18"/>
      <c r="J273" s="18"/>
    </row>
    <row r="274" customFormat="false" ht="15" hidden="false" customHeight="false" outlineLevel="0" collapsed="false">
      <c r="A274" s="18"/>
      <c r="B274" s="18"/>
      <c r="C274" s="12"/>
      <c r="D274" s="12"/>
      <c r="E274" s="18"/>
      <c r="F274" s="12"/>
      <c r="G274" s="12"/>
      <c r="H274" s="18"/>
      <c r="I274" s="18"/>
      <c r="J274" s="18"/>
    </row>
    <row r="275" customFormat="false" ht="15" hidden="false" customHeight="false" outlineLevel="0" collapsed="false">
      <c r="A275" s="18"/>
      <c r="B275" s="18"/>
      <c r="C275" s="12"/>
      <c r="D275" s="12"/>
      <c r="E275" s="18"/>
      <c r="F275" s="12"/>
      <c r="G275" s="12"/>
      <c r="H275" s="18"/>
      <c r="I275" s="18"/>
      <c r="J275" s="18"/>
    </row>
    <row r="276" customFormat="false" ht="15" hidden="false" customHeight="false" outlineLevel="0" collapsed="false">
      <c r="A276" s="18"/>
      <c r="B276" s="18"/>
      <c r="C276" s="12"/>
      <c r="D276" s="12"/>
      <c r="E276" s="18"/>
      <c r="F276" s="12"/>
      <c r="G276" s="12"/>
      <c r="H276" s="18"/>
      <c r="I276" s="18"/>
      <c r="J276" s="18"/>
    </row>
    <row r="277" customFormat="false" ht="15" hidden="false" customHeight="false" outlineLevel="0" collapsed="false">
      <c r="A277" s="18"/>
      <c r="B277" s="18"/>
      <c r="C277" s="12"/>
      <c r="D277" s="12"/>
      <c r="E277" s="18"/>
      <c r="F277" s="12"/>
      <c r="G277" s="12"/>
      <c r="H277" s="18"/>
      <c r="I277" s="18"/>
      <c r="J277" s="18"/>
    </row>
    <row r="278" customFormat="false" ht="15" hidden="false" customHeight="false" outlineLevel="0" collapsed="false">
      <c r="A278" s="18"/>
      <c r="B278" s="18"/>
      <c r="C278" s="12"/>
      <c r="D278" s="12"/>
      <c r="E278" s="18"/>
      <c r="F278" s="12"/>
      <c r="G278" s="12"/>
      <c r="H278" s="18"/>
      <c r="I278" s="18"/>
      <c r="J278" s="18"/>
    </row>
    <row r="279" customFormat="false" ht="15" hidden="false" customHeight="false" outlineLevel="0" collapsed="false">
      <c r="A279" s="18"/>
      <c r="B279" s="18"/>
      <c r="C279" s="12"/>
      <c r="D279" s="12"/>
      <c r="E279" s="18"/>
      <c r="F279" s="12"/>
      <c r="G279" s="12"/>
      <c r="H279" s="18"/>
      <c r="I279" s="18"/>
      <c r="J279" s="18"/>
    </row>
    <row r="280" customFormat="false" ht="15" hidden="false" customHeight="false" outlineLevel="0" collapsed="false">
      <c r="A280" s="18"/>
      <c r="B280" s="18"/>
      <c r="C280" s="12"/>
      <c r="D280" s="12"/>
      <c r="E280" s="18"/>
      <c r="F280" s="12"/>
      <c r="G280" s="12"/>
      <c r="H280" s="18"/>
      <c r="I280" s="18"/>
      <c r="J280" s="18"/>
    </row>
    <row r="281" customFormat="false" ht="15" hidden="false" customHeight="false" outlineLevel="0" collapsed="false">
      <c r="A281" s="18"/>
      <c r="B281" s="18"/>
      <c r="C281" s="12"/>
      <c r="D281" s="12"/>
      <c r="E281" s="18"/>
      <c r="F281" s="12"/>
      <c r="G281" s="12"/>
      <c r="H281" s="18"/>
      <c r="I281" s="18"/>
      <c r="J281" s="18"/>
    </row>
    <row r="282" customFormat="false" ht="15" hidden="false" customHeight="false" outlineLevel="0" collapsed="false">
      <c r="A282" s="18"/>
      <c r="B282" s="18"/>
      <c r="C282" s="12"/>
      <c r="D282" s="12"/>
      <c r="E282" s="18"/>
      <c r="F282" s="12"/>
      <c r="G282" s="12"/>
      <c r="H282" s="18"/>
      <c r="I282" s="18"/>
      <c r="J282" s="18"/>
    </row>
    <row r="283" customFormat="false" ht="15" hidden="false" customHeight="false" outlineLevel="0" collapsed="false">
      <c r="A283" s="18"/>
      <c r="B283" s="18"/>
      <c r="C283" s="12"/>
      <c r="D283" s="12"/>
      <c r="E283" s="18"/>
      <c r="F283" s="12"/>
      <c r="G283" s="12"/>
      <c r="H283" s="18"/>
      <c r="I283" s="18"/>
      <c r="J283" s="18"/>
    </row>
    <row r="284" customFormat="false" ht="15" hidden="false" customHeight="false" outlineLevel="0" collapsed="false">
      <c r="A284" s="18"/>
      <c r="B284" s="18"/>
      <c r="C284" s="12"/>
      <c r="D284" s="12"/>
      <c r="E284" s="18"/>
      <c r="F284" s="12"/>
      <c r="G284" s="12"/>
      <c r="H284" s="18"/>
      <c r="I284" s="18"/>
      <c r="J284" s="18"/>
    </row>
    <row r="285" customFormat="false" ht="15" hidden="false" customHeight="false" outlineLevel="0" collapsed="false">
      <c r="A285" s="18"/>
      <c r="B285" s="18"/>
      <c r="C285" s="12"/>
      <c r="D285" s="12"/>
      <c r="E285" s="18"/>
      <c r="F285" s="12"/>
      <c r="G285" s="12"/>
      <c r="H285" s="18"/>
      <c r="I285" s="18"/>
      <c r="J285" s="18"/>
    </row>
    <row r="286" customFormat="false" ht="15" hidden="false" customHeight="false" outlineLevel="0" collapsed="false">
      <c r="A286" s="18"/>
      <c r="B286" s="18"/>
      <c r="C286" s="12"/>
      <c r="D286" s="12"/>
      <c r="E286" s="18"/>
      <c r="F286" s="12"/>
      <c r="G286" s="12"/>
      <c r="H286" s="18"/>
      <c r="I286" s="18"/>
      <c r="J286" s="18"/>
    </row>
    <row r="287" customFormat="false" ht="15" hidden="false" customHeight="false" outlineLevel="0" collapsed="false">
      <c r="A287" s="18"/>
      <c r="B287" s="18"/>
      <c r="C287" s="12"/>
      <c r="D287" s="12"/>
      <c r="E287" s="18"/>
      <c r="F287" s="12"/>
      <c r="G287" s="12"/>
      <c r="H287" s="18"/>
      <c r="I287" s="18"/>
      <c r="J287" s="18"/>
    </row>
    <row r="288" customFormat="false" ht="15" hidden="false" customHeight="false" outlineLevel="0" collapsed="false">
      <c r="A288" s="18"/>
      <c r="B288" s="18"/>
      <c r="C288" s="12"/>
      <c r="D288" s="12"/>
      <c r="E288" s="18"/>
      <c r="F288" s="12"/>
      <c r="G288" s="12"/>
      <c r="H288" s="18"/>
      <c r="I288" s="18"/>
      <c r="J288" s="18"/>
    </row>
    <row r="289" customFormat="false" ht="15" hidden="false" customHeight="false" outlineLevel="0" collapsed="false">
      <c r="A289" s="18"/>
      <c r="B289" s="18"/>
      <c r="C289" s="12"/>
      <c r="D289" s="12"/>
      <c r="E289" s="18"/>
      <c r="F289" s="12"/>
      <c r="G289" s="12"/>
      <c r="H289" s="18"/>
      <c r="I289" s="18"/>
      <c r="J289" s="18"/>
    </row>
    <row r="290" customFormat="false" ht="15" hidden="false" customHeight="false" outlineLevel="0" collapsed="false">
      <c r="A290" s="18"/>
      <c r="B290" s="18"/>
      <c r="C290" s="12"/>
      <c r="D290" s="12"/>
      <c r="E290" s="18"/>
      <c r="F290" s="12"/>
      <c r="G290" s="12"/>
      <c r="H290" s="18"/>
      <c r="I290" s="18"/>
      <c r="J290" s="18"/>
    </row>
    <row r="291" customFormat="false" ht="15" hidden="false" customHeight="false" outlineLevel="0" collapsed="false">
      <c r="A291" s="18"/>
      <c r="B291" s="18"/>
      <c r="C291" s="12"/>
      <c r="D291" s="12"/>
      <c r="E291" s="18"/>
      <c r="F291" s="12"/>
      <c r="G291" s="12"/>
      <c r="H291" s="18"/>
      <c r="I291" s="18"/>
      <c r="J291" s="18"/>
    </row>
    <row r="292" customFormat="false" ht="15" hidden="false" customHeight="false" outlineLevel="0" collapsed="false">
      <c r="A292" s="18"/>
      <c r="B292" s="18"/>
      <c r="C292" s="12"/>
      <c r="D292" s="12"/>
      <c r="E292" s="18"/>
      <c r="F292" s="12"/>
      <c r="G292" s="12"/>
      <c r="H292" s="18"/>
      <c r="I292" s="18"/>
      <c r="J292" s="18"/>
    </row>
    <row r="293" customFormat="false" ht="15" hidden="false" customHeight="false" outlineLevel="0" collapsed="false">
      <c r="A293" s="18"/>
      <c r="B293" s="18"/>
      <c r="C293" s="12"/>
      <c r="D293" s="12"/>
      <c r="E293" s="18"/>
      <c r="F293" s="12"/>
      <c r="G293" s="12"/>
      <c r="H293" s="18"/>
      <c r="I293" s="18"/>
      <c r="J293" s="18"/>
    </row>
    <row r="294" customFormat="false" ht="15" hidden="false" customHeight="false" outlineLevel="0" collapsed="false">
      <c r="A294" s="18"/>
      <c r="B294" s="18"/>
      <c r="C294" s="12"/>
      <c r="D294" s="12"/>
      <c r="E294" s="18"/>
      <c r="F294" s="12"/>
      <c r="G294" s="12"/>
      <c r="H294" s="18"/>
      <c r="I294" s="18"/>
      <c r="J294" s="18"/>
    </row>
    <row r="295" customFormat="false" ht="15" hidden="false" customHeight="false" outlineLevel="0" collapsed="false">
      <c r="A295" s="18"/>
      <c r="B295" s="18"/>
      <c r="C295" s="12"/>
      <c r="D295" s="12"/>
      <c r="E295" s="18"/>
      <c r="F295" s="12"/>
      <c r="G295" s="12"/>
      <c r="H295" s="18"/>
      <c r="I295" s="18"/>
      <c r="J295" s="18"/>
    </row>
    <row r="296" customFormat="false" ht="15" hidden="false" customHeight="false" outlineLevel="0" collapsed="false">
      <c r="A296" s="18"/>
      <c r="B296" s="18"/>
      <c r="C296" s="12"/>
      <c r="D296" s="12"/>
      <c r="E296" s="18"/>
      <c r="F296" s="12"/>
      <c r="G296" s="12"/>
      <c r="H296" s="18"/>
      <c r="I296" s="18"/>
      <c r="J296" s="18"/>
    </row>
    <row r="297" customFormat="false" ht="15" hidden="false" customHeight="false" outlineLevel="0" collapsed="false">
      <c r="A297" s="18"/>
      <c r="B297" s="18"/>
      <c r="C297" s="12"/>
      <c r="D297" s="12"/>
      <c r="E297" s="18"/>
      <c r="F297" s="12"/>
      <c r="G297" s="12"/>
      <c r="H297" s="18"/>
      <c r="I297" s="18"/>
      <c r="J297" s="18"/>
    </row>
    <row r="298" customFormat="false" ht="15" hidden="false" customHeight="false" outlineLevel="0" collapsed="false">
      <c r="A298" s="18"/>
      <c r="B298" s="18"/>
      <c r="C298" s="12"/>
      <c r="D298" s="12"/>
      <c r="E298" s="18"/>
      <c r="F298" s="12"/>
      <c r="G298" s="12"/>
      <c r="H298" s="18"/>
      <c r="I298" s="18"/>
      <c r="J298" s="18"/>
    </row>
    <row r="299" customFormat="false" ht="15" hidden="false" customHeight="false" outlineLevel="0" collapsed="false">
      <c r="A299" s="18"/>
      <c r="B299" s="18"/>
      <c r="C299" s="12"/>
      <c r="D299" s="12"/>
      <c r="E299" s="18"/>
      <c r="F299" s="12"/>
      <c r="G299" s="12"/>
      <c r="H299" s="18"/>
      <c r="I299" s="18"/>
      <c r="J299" s="18"/>
    </row>
    <row r="300" customFormat="false" ht="15" hidden="false" customHeight="false" outlineLevel="0" collapsed="false">
      <c r="A300" s="18"/>
      <c r="B300" s="18"/>
      <c r="C300" s="12"/>
      <c r="D300" s="12"/>
      <c r="E300" s="18"/>
      <c r="F300" s="12"/>
      <c r="G300" s="12"/>
      <c r="H300" s="18"/>
      <c r="I300" s="18"/>
      <c r="J300" s="18"/>
    </row>
    <row r="301" customFormat="false" ht="15" hidden="false" customHeight="false" outlineLevel="0" collapsed="false">
      <c r="A301" s="18"/>
      <c r="B301" s="18"/>
      <c r="C301" s="12"/>
      <c r="D301" s="12"/>
      <c r="E301" s="18"/>
      <c r="F301" s="12"/>
      <c r="G301" s="12"/>
      <c r="H301" s="18"/>
      <c r="I301" s="18"/>
      <c r="J301" s="18"/>
    </row>
    <row r="302" customFormat="false" ht="15" hidden="false" customHeight="false" outlineLevel="0" collapsed="false">
      <c r="A302" s="18"/>
      <c r="B302" s="18"/>
      <c r="C302" s="12"/>
      <c r="D302" s="12"/>
      <c r="E302" s="18"/>
      <c r="F302" s="12"/>
      <c r="G302" s="12"/>
      <c r="H302" s="18"/>
      <c r="I302" s="18"/>
      <c r="J302" s="18"/>
    </row>
    <row r="303" customFormat="false" ht="15" hidden="false" customHeight="false" outlineLevel="0" collapsed="false">
      <c r="A303" s="18"/>
      <c r="B303" s="18"/>
      <c r="C303" s="12"/>
      <c r="D303" s="12"/>
      <c r="E303" s="18"/>
      <c r="F303" s="12"/>
      <c r="G303" s="12"/>
      <c r="H303" s="18"/>
      <c r="I303" s="18"/>
      <c r="J303" s="18"/>
    </row>
    <row r="304" customFormat="false" ht="15" hidden="false" customHeight="false" outlineLevel="0" collapsed="false">
      <c r="A304" s="18"/>
      <c r="B304" s="18"/>
      <c r="C304" s="12"/>
      <c r="D304" s="12"/>
      <c r="E304" s="18"/>
      <c r="F304" s="12"/>
      <c r="G304" s="12"/>
      <c r="H304" s="18"/>
      <c r="I304" s="18"/>
      <c r="J304" s="18"/>
    </row>
    <row r="305" customFormat="false" ht="15" hidden="false" customHeight="false" outlineLevel="0" collapsed="false">
      <c r="A305" s="18"/>
      <c r="B305" s="18"/>
      <c r="C305" s="12"/>
      <c r="D305" s="12"/>
      <c r="E305" s="18"/>
      <c r="F305" s="12"/>
      <c r="G305" s="12"/>
      <c r="H305" s="18"/>
      <c r="I305" s="18"/>
      <c r="J305" s="18"/>
    </row>
    <row r="306" customFormat="false" ht="15" hidden="false" customHeight="false" outlineLevel="0" collapsed="false">
      <c r="A306" s="18"/>
      <c r="B306" s="18"/>
      <c r="C306" s="12"/>
      <c r="D306" s="12"/>
      <c r="E306" s="18"/>
      <c r="F306" s="12"/>
      <c r="G306" s="12"/>
      <c r="H306" s="18"/>
      <c r="I306" s="18"/>
      <c r="J306" s="18"/>
    </row>
    <row r="307" customFormat="false" ht="15" hidden="false" customHeight="false" outlineLevel="0" collapsed="false">
      <c r="A307" s="18"/>
      <c r="B307" s="18"/>
      <c r="C307" s="12"/>
      <c r="D307" s="12"/>
      <c r="E307" s="18"/>
      <c r="F307" s="12"/>
      <c r="G307" s="12"/>
      <c r="H307" s="18"/>
      <c r="I307" s="18"/>
      <c r="J307" s="18"/>
    </row>
    <row r="308" customFormat="false" ht="15" hidden="false" customHeight="false" outlineLevel="0" collapsed="false">
      <c r="A308" s="18"/>
      <c r="B308" s="18"/>
      <c r="C308" s="12"/>
      <c r="D308" s="12"/>
      <c r="E308" s="18"/>
      <c r="F308" s="12"/>
      <c r="G308" s="12"/>
      <c r="H308" s="18"/>
      <c r="I308" s="18"/>
      <c r="J308" s="18"/>
    </row>
    <row r="309" customFormat="false" ht="15" hidden="false" customHeight="false" outlineLevel="0" collapsed="false">
      <c r="A309" s="18"/>
      <c r="B309" s="18"/>
      <c r="C309" s="12"/>
      <c r="D309" s="12"/>
      <c r="E309" s="18"/>
      <c r="F309" s="12"/>
      <c r="G309" s="12"/>
      <c r="H309" s="18"/>
      <c r="I309" s="18"/>
      <c r="J309" s="18"/>
    </row>
    <row r="310" customFormat="false" ht="15" hidden="false" customHeight="false" outlineLevel="0" collapsed="false">
      <c r="A310" s="18"/>
      <c r="B310" s="18"/>
      <c r="C310" s="12"/>
      <c r="D310" s="12"/>
      <c r="E310" s="18"/>
      <c r="F310" s="12"/>
      <c r="G310" s="12"/>
      <c r="H310" s="18"/>
      <c r="I310" s="18"/>
      <c r="J310" s="18"/>
    </row>
    <row r="311" customFormat="false" ht="15" hidden="false" customHeight="false" outlineLevel="0" collapsed="false">
      <c r="A311" s="18"/>
      <c r="B311" s="18"/>
      <c r="C311" s="12"/>
      <c r="D311" s="12"/>
      <c r="E311" s="18"/>
      <c r="F311" s="12"/>
      <c r="G311" s="12"/>
      <c r="H311" s="18"/>
      <c r="I311" s="18"/>
      <c r="J311" s="18"/>
    </row>
    <row r="312" customFormat="false" ht="15" hidden="false" customHeight="false" outlineLevel="0" collapsed="false">
      <c r="A312" s="18"/>
      <c r="B312" s="18"/>
      <c r="C312" s="12"/>
      <c r="D312" s="12"/>
      <c r="E312" s="18"/>
      <c r="F312" s="12"/>
      <c r="G312" s="12"/>
      <c r="H312" s="18"/>
      <c r="I312" s="18"/>
      <c r="J312" s="18"/>
    </row>
    <row r="313" customFormat="false" ht="15" hidden="false" customHeight="false" outlineLevel="0" collapsed="false">
      <c r="A313" s="18"/>
      <c r="B313" s="18"/>
      <c r="C313" s="12"/>
      <c r="D313" s="12"/>
      <c r="E313" s="18"/>
      <c r="F313" s="12"/>
      <c r="G313" s="12"/>
      <c r="H313" s="18"/>
      <c r="I313" s="18"/>
      <c r="J313" s="18"/>
    </row>
    <row r="314" customFormat="false" ht="15" hidden="false" customHeight="false" outlineLevel="0" collapsed="false">
      <c r="A314" s="18"/>
      <c r="B314" s="18"/>
      <c r="C314" s="12"/>
      <c r="D314" s="12"/>
      <c r="E314" s="18"/>
      <c r="F314" s="12"/>
      <c r="G314" s="12"/>
      <c r="H314" s="18"/>
      <c r="I314" s="18"/>
      <c r="J314" s="18"/>
    </row>
    <row r="315" customFormat="false" ht="15" hidden="false" customHeight="false" outlineLevel="0" collapsed="false">
      <c r="A315" s="18"/>
      <c r="B315" s="18"/>
      <c r="C315" s="12"/>
      <c r="D315" s="12"/>
      <c r="E315" s="18"/>
      <c r="F315" s="12"/>
      <c r="G315" s="12"/>
      <c r="H315" s="18"/>
      <c r="I315" s="18"/>
      <c r="J315" s="18"/>
    </row>
    <row r="316" customFormat="false" ht="15" hidden="false" customHeight="false" outlineLevel="0" collapsed="false">
      <c r="A316" s="18"/>
      <c r="B316" s="18"/>
      <c r="C316" s="12"/>
      <c r="D316" s="12"/>
      <c r="E316" s="18"/>
      <c r="F316" s="12"/>
      <c r="G316" s="12"/>
      <c r="H316" s="18"/>
      <c r="I316" s="18"/>
      <c r="J316" s="18"/>
    </row>
    <row r="317" customFormat="false" ht="15" hidden="false" customHeight="false" outlineLevel="0" collapsed="false">
      <c r="A317" s="18"/>
      <c r="B317" s="18"/>
      <c r="C317" s="12"/>
      <c r="D317" s="12"/>
      <c r="E317" s="18"/>
      <c r="F317" s="12"/>
      <c r="G317" s="12"/>
      <c r="H317" s="18"/>
      <c r="I317" s="18"/>
      <c r="J317" s="18"/>
    </row>
    <row r="318" customFormat="false" ht="15" hidden="false" customHeight="false" outlineLevel="0" collapsed="false">
      <c r="A318" s="18"/>
      <c r="B318" s="18"/>
      <c r="C318" s="12"/>
      <c r="D318" s="12"/>
      <c r="E318" s="18"/>
      <c r="F318" s="12"/>
      <c r="G318" s="12"/>
      <c r="H318" s="18"/>
      <c r="I318" s="18"/>
      <c r="J318" s="18"/>
    </row>
    <row r="319" customFormat="false" ht="15" hidden="false" customHeight="false" outlineLevel="0" collapsed="false">
      <c r="A319" s="18"/>
      <c r="B319" s="18"/>
      <c r="C319" s="12"/>
      <c r="D319" s="12"/>
      <c r="E319" s="18"/>
      <c r="F319" s="12"/>
      <c r="G319" s="12"/>
      <c r="H319" s="18"/>
      <c r="I319" s="18"/>
      <c r="J319" s="18"/>
    </row>
    <row r="320" customFormat="false" ht="15" hidden="false" customHeight="false" outlineLevel="0" collapsed="false">
      <c r="A320" s="18"/>
      <c r="B320" s="18"/>
      <c r="C320" s="12"/>
      <c r="D320" s="12"/>
      <c r="E320" s="18"/>
      <c r="F320" s="12"/>
      <c r="G320" s="12"/>
      <c r="H320" s="18"/>
      <c r="I320" s="18"/>
      <c r="J320" s="18"/>
    </row>
    <row r="321" customFormat="false" ht="15" hidden="false" customHeight="false" outlineLevel="0" collapsed="false">
      <c r="A321" s="18"/>
      <c r="B321" s="18"/>
      <c r="C321" s="12"/>
      <c r="D321" s="12"/>
      <c r="E321" s="18"/>
      <c r="F321" s="12"/>
      <c r="G321" s="12"/>
      <c r="H321" s="18"/>
      <c r="I321" s="18"/>
      <c r="J321" s="18"/>
    </row>
    <row r="322" customFormat="false" ht="15" hidden="false" customHeight="false" outlineLevel="0" collapsed="false">
      <c r="A322" s="18"/>
      <c r="B322" s="18"/>
      <c r="C322" s="12"/>
      <c r="D322" s="12"/>
      <c r="E322" s="18"/>
      <c r="F322" s="12"/>
      <c r="G322" s="12"/>
      <c r="H322" s="18"/>
      <c r="I322" s="18"/>
      <c r="J322" s="18"/>
    </row>
    <row r="323" customFormat="false" ht="15" hidden="false" customHeight="false" outlineLevel="0" collapsed="false">
      <c r="A323" s="18"/>
      <c r="B323" s="18"/>
      <c r="C323" s="12"/>
      <c r="D323" s="12"/>
      <c r="E323" s="18"/>
      <c r="F323" s="12"/>
      <c r="G323" s="12"/>
      <c r="H323" s="18"/>
      <c r="I323" s="18"/>
      <c r="J323" s="18"/>
    </row>
    <row r="324" customFormat="false" ht="15" hidden="false" customHeight="false" outlineLevel="0" collapsed="false">
      <c r="A324" s="18"/>
      <c r="B324" s="18"/>
      <c r="C324" s="12"/>
      <c r="D324" s="12"/>
      <c r="E324" s="18"/>
      <c r="F324" s="12"/>
      <c r="G324" s="12"/>
      <c r="H324" s="18"/>
      <c r="I324" s="18"/>
      <c r="J324" s="18"/>
    </row>
    <row r="325" customFormat="false" ht="15" hidden="false" customHeight="false" outlineLevel="0" collapsed="false">
      <c r="A325" s="18"/>
      <c r="B325" s="18"/>
      <c r="C325" s="12"/>
      <c r="D325" s="12"/>
      <c r="E325" s="18"/>
      <c r="F325" s="12"/>
      <c r="G325" s="12"/>
      <c r="H325" s="18"/>
      <c r="I325" s="18"/>
      <c r="J325" s="18"/>
    </row>
    <row r="326" customFormat="false" ht="15" hidden="false" customHeight="false" outlineLevel="0" collapsed="false">
      <c r="A326" s="18"/>
      <c r="B326" s="18"/>
      <c r="C326" s="12"/>
      <c r="D326" s="12"/>
      <c r="E326" s="18"/>
      <c r="F326" s="12"/>
      <c r="G326" s="12"/>
      <c r="H326" s="18"/>
      <c r="I326" s="18"/>
      <c r="J326" s="18"/>
    </row>
    <row r="327" customFormat="false" ht="15" hidden="false" customHeight="false" outlineLevel="0" collapsed="false">
      <c r="A327" s="18"/>
      <c r="B327" s="18"/>
      <c r="C327" s="12"/>
      <c r="D327" s="12"/>
      <c r="E327" s="18"/>
      <c r="F327" s="12"/>
      <c r="G327" s="12"/>
      <c r="H327" s="18"/>
      <c r="I327" s="18"/>
      <c r="J327" s="18"/>
    </row>
    <row r="328" customFormat="false" ht="15" hidden="false" customHeight="false" outlineLevel="0" collapsed="false">
      <c r="A328" s="18"/>
      <c r="B328" s="18"/>
      <c r="C328" s="12"/>
      <c r="D328" s="12"/>
      <c r="E328" s="18"/>
      <c r="F328" s="12"/>
      <c r="G328" s="12"/>
      <c r="H328" s="18"/>
      <c r="I328" s="18"/>
      <c r="J328" s="18"/>
    </row>
    <row r="329" customFormat="false" ht="15" hidden="false" customHeight="false" outlineLevel="0" collapsed="false">
      <c r="A329" s="18"/>
      <c r="B329" s="18"/>
      <c r="C329" s="12"/>
      <c r="D329" s="12"/>
      <c r="E329" s="18"/>
      <c r="F329" s="12"/>
      <c r="G329" s="12"/>
      <c r="H329" s="18"/>
      <c r="I329" s="18"/>
      <c r="J329" s="18"/>
    </row>
    <row r="330" customFormat="false" ht="15" hidden="false" customHeight="false" outlineLevel="0" collapsed="false">
      <c r="A330" s="18"/>
      <c r="B330" s="18"/>
      <c r="C330" s="12"/>
      <c r="D330" s="12"/>
      <c r="E330" s="18"/>
      <c r="F330" s="12"/>
      <c r="G330" s="12"/>
      <c r="H330" s="18"/>
      <c r="I330" s="18"/>
      <c r="J330" s="18"/>
    </row>
    <row r="331" customFormat="false" ht="15" hidden="false" customHeight="false" outlineLevel="0" collapsed="false">
      <c r="A331" s="18"/>
      <c r="B331" s="18"/>
      <c r="C331" s="12"/>
      <c r="D331" s="12"/>
      <c r="E331" s="18"/>
      <c r="F331" s="12"/>
      <c r="G331" s="12"/>
      <c r="H331" s="18"/>
      <c r="I331" s="18"/>
      <c r="J331" s="18"/>
    </row>
    <row r="332" customFormat="false" ht="15" hidden="false" customHeight="false" outlineLevel="0" collapsed="false">
      <c r="A332" s="18"/>
      <c r="B332" s="18"/>
      <c r="C332" s="12"/>
      <c r="D332" s="12"/>
      <c r="E332" s="18"/>
      <c r="F332" s="12"/>
      <c r="G332" s="12"/>
      <c r="H332" s="18"/>
      <c r="I332" s="18"/>
      <c r="J332" s="18"/>
    </row>
    <row r="333" customFormat="false" ht="15" hidden="false" customHeight="false" outlineLevel="0" collapsed="false">
      <c r="A333" s="18"/>
      <c r="B333" s="18"/>
      <c r="C333" s="12"/>
      <c r="D333" s="12"/>
      <c r="E333" s="18"/>
      <c r="F333" s="12"/>
      <c r="G333" s="12"/>
      <c r="H333" s="18"/>
      <c r="I333" s="18"/>
      <c r="J333" s="18"/>
    </row>
    <row r="334" customFormat="false" ht="15" hidden="false" customHeight="false" outlineLevel="0" collapsed="false">
      <c r="A334" s="18"/>
      <c r="B334" s="18"/>
      <c r="C334" s="12"/>
      <c r="D334" s="12"/>
      <c r="E334" s="18"/>
      <c r="F334" s="12"/>
      <c r="G334" s="12"/>
      <c r="H334" s="18"/>
      <c r="I334" s="18"/>
      <c r="J334" s="18"/>
    </row>
    <row r="335" customFormat="false" ht="15" hidden="false" customHeight="false" outlineLevel="0" collapsed="false">
      <c r="A335" s="18"/>
      <c r="B335" s="18"/>
      <c r="C335" s="12"/>
      <c r="D335" s="12"/>
      <c r="E335" s="18"/>
      <c r="F335" s="12"/>
      <c r="G335" s="12"/>
      <c r="H335" s="18"/>
      <c r="I335" s="18"/>
      <c r="J335" s="18"/>
    </row>
    <row r="336" customFormat="false" ht="15" hidden="false" customHeight="false" outlineLevel="0" collapsed="false">
      <c r="A336" s="18"/>
      <c r="B336" s="18"/>
      <c r="C336" s="12"/>
      <c r="D336" s="12"/>
      <c r="E336" s="18"/>
      <c r="F336" s="12"/>
      <c r="G336" s="12"/>
      <c r="H336" s="18"/>
      <c r="I336" s="18"/>
      <c r="J336" s="18"/>
    </row>
    <row r="337" customFormat="false" ht="15" hidden="false" customHeight="false" outlineLevel="0" collapsed="false">
      <c r="A337" s="18"/>
      <c r="B337" s="18"/>
      <c r="C337" s="12"/>
      <c r="D337" s="12"/>
      <c r="E337" s="18"/>
      <c r="F337" s="12"/>
      <c r="G337" s="12"/>
      <c r="H337" s="18"/>
      <c r="I337" s="18"/>
      <c r="J337" s="18"/>
    </row>
    <row r="338" customFormat="false" ht="15" hidden="false" customHeight="false" outlineLevel="0" collapsed="false">
      <c r="A338" s="18"/>
      <c r="B338" s="18"/>
      <c r="C338" s="12"/>
      <c r="D338" s="12"/>
      <c r="E338" s="18"/>
      <c r="F338" s="12"/>
      <c r="G338" s="12"/>
      <c r="H338" s="18"/>
      <c r="I338" s="18"/>
      <c r="J338" s="18"/>
    </row>
    <row r="339" customFormat="false" ht="15" hidden="false" customHeight="false" outlineLevel="0" collapsed="false">
      <c r="A339" s="18"/>
      <c r="B339" s="18"/>
      <c r="C339" s="12"/>
      <c r="D339" s="12"/>
      <c r="E339" s="18"/>
      <c r="F339" s="12"/>
      <c r="G339" s="12"/>
      <c r="H339" s="18"/>
      <c r="I339" s="18"/>
      <c r="J339" s="18"/>
    </row>
    <row r="340" customFormat="false" ht="15" hidden="false" customHeight="false" outlineLevel="0" collapsed="false">
      <c r="A340" s="18"/>
      <c r="B340" s="18"/>
      <c r="C340" s="12"/>
      <c r="D340" s="12"/>
      <c r="E340" s="18"/>
      <c r="F340" s="12"/>
      <c r="G340" s="12"/>
      <c r="H340" s="18"/>
      <c r="I340" s="18"/>
      <c r="J340" s="18"/>
    </row>
    <row r="341" customFormat="false" ht="15" hidden="false" customHeight="false" outlineLevel="0" collapsed="false">
      <c r="A341" s="18"/>
      <c r="B341" s="18"/>
      <c r="C341" s="12"/>
      <c r="D341" s="12"/>
      <c r="E341" s="18"/>
      <c r="F341" s="12"/>
      <c r="G341" s="12"/>
      <c r="H341" s="18"/>
      <c r="I341" s="18"/>
      <c r="J341" s="18"/>
    </row>
    <row r="342" customFormat="false" ht="15" hidden="false" customHeight="false" outlineLevel="0" collapsed="false">
      <c r="A342" s="18"/>
      <c r="B342" s="18"/>
      <c r="C342" s="12"/>
      <c r="D342" s="12"/>
      <c r="E342" s="18"/>
      <c r="F342" s="12"/>
      <c r="G342" s="12"/>
      <c r="H342" s="18"/>
      <c r="I342" s="18"/>
      <c r="J342" s="18"/>
    </row>
    <row r="343" customFormat="false" ht="15" hidden="false" customHeight="false" outlineLevel="0" collapsed="false">
      <c r="A343" s="18"/>
      <c r="B343" s="18"/>
      <c r="C343" s="12"/>
      <c r="D343" s="12"/>
      <c r="E343" s="18"/>
      <c r="F343" s="12"/>
      <c r="G343" s="12"/>
      <c r="H343" s="18"/>
      <c r="I343" s="18"/>
      <c r="J343" s="18"/>
    </row>
    <row r="344" customFormat="false" ht="15" hidden="false" customHeight="false" outlineLevel="0" collapsed="false">
      <c r="A344" s="18"/>
      <c r="B344" s="18"/>
      <c r="C344" s="12"/>
      <c r="D344" s="12"/>
      <c r="E344" s="18"/>
      <c r="F344" s="12"/>
      <c r="G344" s="12"/>
      <c r="H344" s="18"/>
      <c r="I344" s="18"/>
      <c r="J344" s="18"/>
    </row>
    <row r="345" customFormat="false" ht="15" hidden="false" customHeight="false" outlineLevel="0" collapsed="false">
      <c r="A345" s="18"/>
      <c r="B345" s="18"/>
      <c r="C345" s="12"/>
      <c r="D345" s="12"/>
      <c r="E345" s="18"/>
      <c r="F345" s="12"/>
      <c r="G345" s="12"/>
      <c r="H345" s="18"/>
      <c r="I345" s="18"/>
      <c r="J345" s="18"/>
    </row>
    <row r="346" customFormat="false" ht="15" hidden="false" customHeight="false" outlineLevel="0" collapsed="false">
      <c r="A346" s="18"/>
      <c r="B346" s="18"/>
      <c r="C346" s="12"/>
      <c r="D346" s="12"/>
      <c r="E346" s="18"/>
      <c r="F346" s="12"/>
      <c r="G346" s="12"/>
      <c r="H346" s="18"/>
      <c r="I346" s="18"/>
      <c r="J346" s="18"/>
    </row>
    <row r="347" customFormat="false" ht="15" hidden="false" customHeight="false" outlineLevel="0" collapsed="false">
      <c r="A347" s="18"/>
      <c r="B347" s="18"/>
      <c r="C347" s="12"/>
      <c r="D347" s="12"/>
      <c r="E347" s="18"/>
      <c r="F347" s="12"/>
      <c r="G347" s="12"/>
      <c r="H347" s="18"/>
      <c r="I347" s="18"/>
      <c r="J347" s="18"/>
    </row>
    <row r="348" customFormat="false" ht="15" hidden="false" customHeight="false" outlineLevel="0" collapsed="false">
      <c r="A348" s="18"/>
      <c r="B348" s="18"/>
      <c r="C348" s="12"/>
      <c r="D348" s="12"/>
      <c r="E348" s="18"/>
      <c r="F348" s="12"/>
      <c r="G348" s="12"/>
      <c r="H348" s="18"/>
      <c r="I348" s="18"/>
      <c r="J348" s="18"/>
    </row>
    <row r="349" customFormat="false" ht="15" hidden="false" customHeight="false" outlineLevel="0" collapsed="false">
      <c r="A349" s="18"/>
      <c r="B349" s="18"/>
      <c r="C349" s="12"/>
      <c r="D349" s="12"/>
      <c r="E349" s="18"/>
      <c r="F349" s="12"/>
      <c r="G349" s="12"/>
      <c r="H349" s="18"/>
      <c r="I349" s="18"/>
      <c r="J349" s="18"/>
    </row>
    <row r="350" customFormat="false" ht="15" hidden="false" customHeight="false" outlineLevel="0" collapsed="false">
      <c r="A350" s="18"/>
      <c r="B350" s="18"/>
      <c r="C350" s="12"/>
      <c r="D350" s="12"/>
      <c r="E350" s="18"/>
      <c r="F350" s="12"/>
      <c r="G350" s="12"/>
      <c r="H350" s="18"/>
      <c r="I350" s="18"/>
      <c r="J350" s="18"/>
    </row>
    <row r="351" customFormat="false" ht="15" hidden="false" customHeight="false" outlineLevel="0" collapsed="false">
      <c r="A351" s="18"/>
      <c r="B351" s="18"/>
      <c r="C351" s="12"/>
      <c r="D351" s="12"/>
      <c r="E351" s="18"/>
      <c r="F351" s="12"/>
      <c r="G351" s="12"/>
      <c r="H351" s="18"/>
      <c r="I351" s="18"/>
      <c r="J351" s="18"/>
    </row>
    <row r="352" customFormat="false" ht="15" hidden="false" customHeight="false" outlineLevel="0" collapsed="false">
      <c r="A352" s="18"/>
      <c r="B352" s="18"/>
      <c r="C352" s="12"/>
      <c r="D352" s="12"/>
      <c r="E352" s="18"/>
      <c r="F352" s="12"/>
      <c r="G352" s="12"/>
      <c r="H352" s="18"/>
      <c r="I352" s="18"/>
      <c r="J352" s="18"/>
    </row>
    <row r="353" customFormat="false" ht="15" hidden="false" customHeight="false" outlineLevel="0" collapsed="false">
      <c r="A353" s="18"/>
      <c r="B353" s="18"/>
      <c r="C353" s="12"/>
      <c r="D353" s="12"/>
      <c r="E353" s="18"/>
      <c r="F353" s="12"/>
      <c r="G353" s="12"/>
      <c r="H353" s="18"/>
      <c r="I353" s="18"/>
      <c r="J353" s="18"/>
    </row>
    <row r="354" customFormat="false" ht="15" hidden="false" customHeight="false" outlineLevel="0" collapsed="false">
      <c r="A354" s="18"/>
      <c r="B354" s="18"/>
      <c r="C354" s="12"/>
      <c r="D354" s="12"/>
      <c r="E354" s="18"/>
      <c r="F354" s="12"/>
      <c r="G354" s="12"/>
      <c r="H354" s="18"/>
      <c r="I354" s="18"/>
      <c r="J354" s="18"/>
    </row>
    <row r="355" customFormat="false" ht="15" hidden="false" customHeight="false" outlineLevel="0" collapsed="false">
      <c r="A355" s="18"/>
      <c r="B355" s="18"/>
      <c r="C355" s="12"/>
      <c r="D355" s="12"/>
      <c r="E355" s="18"/>
      <c r="F355" s="12"/>
      <c r="G355" s="12"/>
      <c r="H355" s="18"/>
      <c r="I355" s="18"/>
      <c r="J355" s="18"/>
    </row>
    <row r="356" customFormat="false" ht="15" hidden="false" customHeight="false" outlineLevel="0" collapsed="false">
      <c r="A356" s="18"/>
      <c r="B356" s="18"/>
      <c r="C356" s="12"/>
      <c r="D356" s="12"/>
      <c r="E356" s="18"/>
      <c r="F356" s="12"/>
      <c r="G356" s="12"/>
      <c r="H356" s="18"/>
      <c r="I356" s="18"/>
      <c r="J356" s="18"/>
    </row>
    <row r="357" customFormat="false" ht="15" hidden="false" customHeight="false" outlineLevel="0" collapsed="false">
      <c r="A357" s="18"/>
      <c r="B357" s="18"/>
      <c r="C357" s="12"/>
      <c r="D357" s="12"/>
      <c r="E357" s="18"/>
      <c r="F357" s="12"/>
      <c r="G357" s="12"/>
      <c r="H357" s="18"/>
      <c r="I357" s="18"/>
      <c r="J357" s="18"/>
    </row>
    <row r="358" customFormat="false" ht="15" hidden="false" customHeight="false" outlineLevel="0" collapsed="false">
      <c r="A358" s="18"/>
      <c r="B358" s="18"/>
      <c r="C358" s="12"/>
      <c r="D358" s="12"/>
      <c r="E358" s="18"/>
      <c r="F358" s="12"/>
      <c r="G358" s="12"/>
      <c r="H358" s="18"/>
      <c r="I358" s="18"/>
      <c r="J358" s="18"/>
    </row>
    <row r="359" customFormat="false" ht="15" hidden="false" customHeight="false" outlineLevel="0" collapsed="false">
      <c r="A359" s="18"/>
      <c r="B359" s="18"/>
      <c r="C359" s="12"/>
      <c r="D359" s="12"/>
      <c r="E359" s="18"/>
      <c r="F359" s="12"/>
      <c r="G359" s="12"/>
      <c r="H359" s="18"/>
      <c r="I359" s="18"/>
      <c r="J359" s="18"/>
    </row>
    <row r="360" customFormat="false" ht="15" hidden="false" customHeight="false" outlineLevel="0" collapsed="false">
      <c r="A360" s="18"/>
      <c r="B360" s="18"/>
      <c r="C360" s="12"/>
      <c r="D360" s="12"/>
      <c r="E360" s="18"/>
      <c r="F360" s="12"/>
      <c r="G360" s="12"/>
      <c r="H360" s="18"/>
      <c r="I360" s="18"/>
      <c r="J360" s="18"/>
    </row>
    <row r="361" customFormat="false" ht="15" hidden="false" customHeight="false" outlineLevel="0" collapsed="false">
      <c r="A361" s="18"/>
      <c r="B361" s="18"/>
      <c r="C361" s="12"/>
      <c r="D361" s="12"/>
      <c r="E361" s="18"/>
      <c r="F361" s="12"/>
      <c r="G361" s="12"/>
      <c r="H361" s="18"/>
      <c r="I361" s="18"/>
      <c r="J361" s="18"/>
    </row>
    <row r="362" customFormat="false" ht="15" hidden="false" customHeight="false" outlineLevel="0" collapsed="false">
      <c r="A362" s="18"/>
      <c r="B362" s="18"/>
      <c r="C362" s="12"/>
      <c r="D362" s="12"/>
      <c r="E362" s="18"/>
      <c r="F362" s="12"/>
      <c r="G362" s="12"/>
      <c r="H362" s="18"/>
      <c r="I362" s="18"/>
      <c r="J362" s="18"/>
    </row>
    <row r="363" customFormat="false" ht="15" hidden="false" customHeight="false" outlineLevel="0" collapsed="false">
      <c r="A363" s="18"/>
      <c r="B363" s="18"/>
      <c r="C363" s="12"/>
      <c r="D363" s="12"/>
      <c r="E363" s="18"/>
      <c r="F363" s="12"/>
      <c r="G363" s="12"/>
      <c r="H363" s="18"/>
      <c r="I363" s="18"/>
      <c r="J363" s="18"/>
    </row>
    <row r="364" customFormat="false" ht="15" hidden="false" customHeight="false" outlineLevel="0" collapsed="false">
      <c r="A364" s="18"/>
      <c r="B364" s="18"/>
      <c r="C364" s="12"/>
      <c r="D364" s="12"/>
      <c r="E364" s="18"/>
      <c r="F364" s="12"/>
      <c r="G364" s="12"/>
      <c r="H364" s="18"/>
      <c r="I364" s="18"/>
      <c r="J364" s="18"/>
    </row>
    <row r="365" customFormat="false" ht="15" hidden="false" customHeight="false" outlineLevel="0" collapsed="false">
      <c r="A365" s="18"/>
      <c r="B365" s="18"/>
      <c r="C365" s="12"/>
      <c r="D365" s="12"/>
      <c r="E365" s="18"/>
      <c r="F365" s="12"/>
      <c r="G365" s="12"/>
      <c r="H365" s="18"/>
      <c r="I365" s="18"/>
      <c r="J365" s="18"/>
    </row>
    <row r="366" customFormat="false" ht="15" hidden="false" customHeight="false" outlineLevel="0" collapsed="false">
      <c r="A366" s="18"/>
      <c r="B366" s="18"/>
      <c r="C366" s="12"/>
      <c r="D366" s="12"/>
      <c r="E366" s="18"/>
      <c r="F366" s="12"/>
      <c r="G366" s="12"/>
      <c r="H366" s="18"/>
      <c r="I366" s="18"/>
      <c r="J366" s="18"/>
    </row>
    <row r="367" customFormat="false" ht="15" hidden="false" customHeight="false" outlineLevel="0" collapsed="false">
      <c r="A367" s="18"/>
      <c r="B367" s="18"/>
      <c r="C367" s="12"/>
      <c r="D367" s="12"/>
      <c r="E367" s="18"/>
      <c r="F367" s="12"/>
      <c r="G367" s="12"/>
      <c r="H367" s="18"/>
      <c r="I367" s="18"/>
      <c r="J367" s="18"/>
    </row>
    <row r="368" customFormat="false" ht="15" hidden="false" customHeight="false" outlineLevel="0" collapsed="false">
      <c r="A368" s="18"/>
      <c r="B368" s="18"/>
      <c r="C368" s="12"/>
      <c r="D368" s="12"/>
      <c r="E368" s="18"/>
      <c r="F368" s="12"/>
      <c r="G368" s="12"/>
      <c r="H368" s="18"/>
      <c r="I368" s="18"/>
      <c r="J368" s="18"/>
    </row>
    <row r="369" customFormat="false" ht="15" hidden="false" customHeight="false" outlineLevel="0" collapsed="false">
      <c r="A369" s="18"/>
      <c r="B369" s="18"/>
      <c r="C369" s="12"/>
      <c r="D369" s="12"/>
      <c r="E369" s="18"/>
      <c r="F369" s="12"/>
      <c r="G369" s="12"/>
      <c r="H369" s="18"/>
      <c r="I369" s="18"/>
      <c r="J369" s="18"/>
    </row>
    <row r="370" customFormat="false" ht="15" hidden="false" customHeight="false" outlineLevel="0" collapsed="false">
      <c r="A370" s="18"/>
      <c r="B370" s="18"/>
      <c r="C370" s="12"/>
      <c r="D370" s="12"/>
      <c r="E370" s="18"/>
      <c r="F370" s="12"/>
      <c r="G370" s="12"/>
      <c r="H370" s="18"/>
      <c r="I370" s="18"/>
      <c r="J370" s="18"/>
    </row>
    <row r="371" customFormat="false" ht="15" hidden="false" customHeight="false" outlineLevel="0" collapsed="false">
      <c r="A371" s="18"/>
      <c r="B371" s="18"/>
      <c r="C371" s="12"/>
      <c r="D371" s="12"/>
      <c r="E371" s="18"/>
      <c r="F371" s="12"/>
      <c r="G371" s="12"/>
      <c r="H371" s="18"/>
      <c r="I371" s="18"/>
      <c r="J371" s="18"/>
    </row>
    <row r="372" customFormat="false" ht="15" hidden="false" customHeight="false" outlineLevel="0" collapsed="false">
      <c r="A372" s="18"/>
      <c r="B372" s="18"/>
      <c r="C372" s="12"/>
      <c r="D372" s="12"/>
      <c r="E372" s="18"/>
      <c r="F372" s="12"/>
      <c r="G372" s="12"/>
      <c r="H372" s="18"/>
      <c r="I372" s="18"/>
      <c r="J372" s="18"/>
    </row>
    <row r="373" customFormat="false" ht="15" hidden="false" customHeight="false" outlineLevel="0" collapsed="false">
      <c r="A373" s="18"/>
      <c r="B373" s="18"/>
      <c r="C373" s="12"/>
      <c r="D373" s="12"/>
      <c r="E373" s="18"/>
      <c r="F373" s="12"/>
      <c r="G373" s="12"/>
      <c r="H373" s="18"/>
      <c r="I373" s="18"/>
      <c r="J373" s="18"/>
    </row>
    <row r="374" customFormat="false" ht="15" hidden="false" customHeight="false" outlineLevel="0" collapsed="false">
      <c r="A374" s="18"/>
      <c r="B374" s="18"/>
      <c r="C374" s="12"/>
      <c r="D374" s="12"/>
      <c r="E374" s="18"/>
      <c r="F374" s="12"/>
      <c r="G374" s="12"/>
      <c r="H374" s="18"/>
      <c r="I374" s="18"/>
      <c r="J374" s="18"/>
    </row>
    <row r="375" customFormat="false" ht="15" hidden="false" customHeight="false" outlineLevel="0" collapsed="false">
      <c r="A375" s="18"/>
      <c r="B375" s="18"/>
      <c r="C375" s="12"/>
      <c r="D375" s="12"/>
      <c r="E375" s="18"/>
      <c r="F375" s="12"/>
      <c r="G375" s="12"/>
      <c r="H375" s="18"/>
      <c r="I375" s="18"/>
      <c r="J375" s="18"/>
    </row>
    <row r="376" customFormat="false" ht="15" hidden="false" customHeight="false" outlineLevel="0" collapsed="false">
      <c r="A376" s="18"/>
      <c r="B376" s="18"/>
      <c r="C376" s="12"/>
      <c r="D376" s="12"/>
      <c r="E376" s="18"/>
      <c r="F376" s="12"/>
      <c r="G376" s="12"/>
      <c r="H376" s="18"/>
      <c r="I376" s="18"/>
      <c r="J376" s="18"/>
    </row>
    <row r="377" customFormat="false" ht="15" hidden="false" customHeight="false" outlineLevel="0" collapsed="false">
      <c r="A377" s="18"/>
      <c r="B377" s="18"/>
      <c r="C377" s="12"/>
      <c r="D377" s="12"/>
      <c r="E377" s="18"/>
      <c r="F377" s="12"/>
      <c r="G377" s="12"/>
      <c r="H377" s="18"/>
      <c r="I377" s="18"/>
      <c r="J377" s="18"/>
    </row>
    <row r="378" customFormat="false" ht="15" hidden="false" customHeight="false" outlineLevel="0" collapsed="false">
      <c r="A378" s="18"/>
      <c r="B378" s="18"/>
      <c r="C378" s="12"/>
      <c r="D378" s="12"/>
      <c r="E378" s="18"/>
      <c r="F378" s="12"/>
      <c r="G378" s="12"/>
      <c r="H378" s="18"/>
      <c r="I378" s="18"/>
      <c r="J378" s="18"/>
    </row>
    <row r="379" customFormat="false" ht="15" hidden="false" customHeight="false" outlineLevel="0" collapsed="false">
      <c r="A379" s="18"/>
      <c r="B379" s="18"/>
      <c r="C379" s="12"/>
      <c r="D379" s="12"/>
      <c r="E379" s="18"/>
      <c r="F379" s="12"/>
      <c r="G379" s="12"/>
      <c r="H379" s="18"/>
      <c r="I379" s="18"/>
      <c r="J379" s="18"/>
    </row>
    <row r="380" customFormat="false" ht="15" hidden="false" customHeight="false" outlineLevel="0" collapsed="false">
      <c r="A380" s="18"/>
      <c r="B380" s="18"/>
      <c r="C380" s="12"/>
      <c r="D380" s="12"/>
      <c r="E380" s="18"/>
      <c r="F380" s="12"/>
      <c r="G380" s="12"/>
      <c r="H380" s="18"/>
      <c r="I380" s="18"/>
      <c r="J380" s="18"/>
    </row>
    <row r="381" customFormat="false" ht="15" hidden="false" customHeight="false" outlineLevel="0" collapsed="false">
      <c r="A381" s="18"/>
      <c r="B381" s="18"/>
      <c r="C381" s="12"/>
      <c r="D381" s="12"/>
      <c r="E381" s="18"/>
      <c r="F381" s="12"/>
      <c r="G381" s="12"/>
      <c r="H381" s="18"/>
      <c r="I381" s="18"/>
      <c r="J381" s="18"/>
    </row>
    <row r="382" customFormat="false" ht="15" hidden="false" customHeight="false" outlineLevel="0" collapsed="false">
      <c r="A382" s="18"/>
      <c r="B382" s="18"/>
      <c r="C382" s="12"/>
      <c r="D382" s="12"/>
      <c r="E382" s="18"/>
      <c r="F382" s="12"/>
      <c r="G382" s="12"/>
      <c r="H382" s="18"/>
      <c r="I382" s="18"/>
      <c r="J382" s="18"/>
    </row>
    <row r="383" customFormat="false" ht="15" hidden="false" customHeight="false" outlineLevel="0" collapsed="false">
      <c r="A383" s="18"/>
      <c r="B383" s="18"/>
      <c r="C383" s="12"/>
      <c r="D383" s="12"/>
      <c r="E383" s="18"/>
      <c r="F383" s="12"/>
      <c r="G383" s="12"/>
      <c r="H383" s="18"/>
      <c r="I383" s="18"/>
      <c r="J383" s="18"/>
    </row>
    <row r="384" customFormat="false" ht="15" hidden="false" customHeight="false" outlineLevel="0" collapsed="false">
      <c r="A384" s="18"/>
      <c r="B384" s="18"/>
      <c r="C384" s="12"/>
      <c r="D384" s="12"/>
      <c r="E384" s="18"/>
      <c r="F384" s="12"/>
      <c r="G384" s="12"/>
      <c r="H384" s="18"/>
      <c r="I384" s="18"/>
      <c r="J384" s="18"/>
    </row>
    <row r="385" customFormat="false" ht="15" hidden="false" customHeight="false" outlineLevel="0" collapsed="false">
      <c r="A385" s="18"/>
      <c r="B385" s="18"/>
      <c r="C385" s="12"/>
      <c r="D385" s="12"/>
      <c r="E385" s="18"/>
      <c r="F385" s="12"/>
      <c r="G385" s="12"/>
      <c r="H385" s="18"/>
      <c r="I385" s="18"/>
      <c r="J385" s="18"/>
    </row>
    <row r="386" customFormat="false" ht="15" hidden="false" customHeight="false" outlineLevel="0" collapsed="false">
      <c r="A386" s="18"/>
      <c r="B386" s="18"/>
      <c r="C386" s="12"/>
      <c r="D386" s="12"/>
      <c r="E386" s="18"/>
      <c r="F386" s="12"/>
      <c r="G386" s="12"/>
      <c r="H386" s="18"/>
      <c r="I386" s="18"/>
      <c r="J386" s="18"/>
    </row>
    <row r="387" customFormat="false" ht="15" hidden="false" customHeight="false" outlineLevel="0" collapsed="false">
      <c r="A387" s="18"/>
      <c r="B387" s="18"/>
      <c r="C387" s="12"/>
      <c r="D387" s="12"/>
      <c r="E387" s="18"/>
      <c r="F387" s="12"/>
      <c r="G387" s="12"/>
      <c r="H387" s="18"/>
      <c r="I387" s="18"/>
      <c r="J387" s="18"/>
    </row>
    <row r="388" customFormat="false" ht="15" hidden="false" customHeight="false" outlineLevel="0" collapsed="false">
      <c r="A388" s="18"/>
      <c r="B388" s="18"/>
      <c r="C388" s="12"/>
      <c r="D388" s="12"/>
      <c r="E388" s="18"/>
      <c r="F388" s="12"/>
      <c r="G388" s="12"/>
      <c r="H388" s="18"/>
      <c r="I388" s="18"/>
      <c r="J388" s="18"/>
    </row>
    <row r="389" customFormat="false" ht="15" hidden="false" customHeight="false" outlineLevel="0" collapsed="false">
      <c r="A389" s="18"/>
      <c r="B389" s="18"/>
      <c r="C389" s="12"/>
      <c r="D389" s="12"/>
      <c r="E389" s="18"/>
      <c r="F389" s="12"/>
      <c r="G389" s="12"/>
      <c r="H389" s="18"/>
      <c r="I389" s="18"/>
      <c r="J389" s="18"/>
    </row>
    <row r="390" customFormat="false" ht="15" hidden="false" customHeight="false" outlineLevel="0" collapsed="false">
      <c r="A390" s="18"/>
      <c r="B390" s="18"/>
      <c r="C390" s="12"/>
      <c r="D390" s="12"/>
      <c r="E390" s="18"/>
      <c r="F390" s="12"/>
      <c r="G390" s="12"/>
      <c r="H390" s="18"/>
      <c r="I390" s="18"/>
      <c r="J390" s="18"/>
    </row>
    <row r="391" customFormat="false" ht="15" hidden="false" customHeight="false" outlineLevel="0" collapsed="false">
      <c r="A391" s="18"/>
      <c r="B391" s="18"/>
      <c r="C391" s="12"/>
      <c r="D391" s="12"/>
      <c r="E391" s="18"/>
      <c r="F391" s="12"/>
      <c r="G391" s="12"/>
      <c r="H391" s="18"/>
      <c r="I391" s="18"/>
      <c r="J391" s="18"/>
    </row>
    <row r="392" customFormat="false" ht="15" hidden="false" customHeight="false" outlineLevel="0" collapsed="false">
      <c r="A392" s="18"/>
      <c r="B392" s="18"/>
      <c r="C392" s="12"/>
      <c r="D392" s="12"/>
      <c r="E392" s="18"/>
      <c r="F392" s="12"/>
      <c r="G392" s="12"/>
      <c r="H392" s="18"/>
      <c r="I392" s="18"/>
      <c r="J392" s="18"/>
    </row>
    <row r="393" customFormat="false" ht="15" hidden="false" customHeight="false" outlineLevel="0" collapsed="false">
      <c r="A393" s="18"/>
      <c r="B393" s="18"/>
      <c r="C393" s="12"/>
      <c r="D393" s="12"/>
      <c r="E393" s="18"/>
      <c r="F393" s="12"/>
      <c r="G393" s="12"/>
      <c r="H393" s="18"/>
      <c r="I393" s="18"/>
      <c r="J393" s="18"/>
    </row>
    <row r="394" customFormat="false" ht="15" hidden="false" customHeight="false" outlineLevel="0" collapsed="false">
      <c r="A394" s="18"/>
      <c r="B394" s="18"/>
      <c r="C394" s="12"/>
      <c r="D394" s="12"/>
      <c r="E394" s="18"/>
      <c r="F394" s="12"/>
      <c r="G394" s="12"/>
      <c r="H394" s="18"/>
      <c r="I394" s="18"/>
      <c r="J394" s="18"/>
    </row>
    <row r="395" customFormat="false" ht="15" hidden="false" customHeight="false" outlineLevel="0" collapsed="false">
      <c r="A395" s="18"/>
      <c r="B395" s="18"/>
      <c r="C395" s="12"/>
      <c r="D395" s="12"/>
      <c r="E395" s="18"/>
      <c r="F395" s="12"/>
      <c r="G395" s="12"/>
      <c r="H395" s="18"/>
      <c r="I395" s="18"/>
      <c r="J395" s="18"/>
    </row>
    <row r="396" customFormat="false" ht="15" hidden="false" customHeight="false" outlineLevel="0" collapsed="false">
      <c r="A396" s="18"/>
      <c r="B396" s="18"/>
      <c r="C396" s="12"/>
      <c r="D396" s="12"/>
      <c r="E396" s="18"/>
      <c r="F396" s="12"/>
      <c r="G396" s="12"/>
      <c r="H396" s="18"/>
      <c r="I396" s="18"/>
      <c r="J396" s="18"/>
    </row>
    <row r="397" customFormat="false" ht="15" hidden="false" customHeight="false" outlineLevel="0" collapsed="false">
      <c r="A397" s="18"/>
      <c r="B397" s="18"/>
      <c r="C397" s="12"/>
      <c r="D397" s="12"/>
      <c r="E397" s="18"/>
      <c r="F397" s="12"/>
      <c r="G397" s="12"/>
      <c r="H397" s="18"/>
      <c r="I397" s="18"/>
      <c r="J397" s="18"/>
    </row>
    <row r="398" customFormat="false" ht="15" hidden="false" customHeight="false" outlineLevel="0" collapsed="false">
      <c r="A398" s="18"/>
      <c r="B398" s="18"/>
      <c r="C398" s="12"/>
      <c r="D398" s="12"/>
      <c r="E398" s="18"/>
      <c r="F398" s="12"/>
      <c r="G398" s="12"/>
      <c r="H398" s="18"/>
      <c r="I398" s="18"/>
      <c r="J398" s="18"/>
    </row>
    <row r="399" customFormat="false" ht="15" hidden="false" customHeight="false" outlineLevel="0" collapsed="false">
      <c r="A399" s="18"/>
      <c r="B399" s="18"/>
      <c r="C399" s="12"/>
      <c r="D399" s="12"/>
      <c r="E399" s="18"/>
      <c r="F399" s="12"/>
      <c r="G399" s="12"/>
      <c r="H399" s="18"/>
      <c r="I399" s="18"/>
      <c r="J399" s="18"/>
    </row>
    <row r="400" customFormat="false" ht="15" hidden="false" customHeight="false" outlineLevel="0" collapsed="false">
      <c r="A400" s="18"/>
      <c r="B400" s="18"/>
      <c r="C400" s="12"/>
      <c r="D400" s="12"/>
      <c r="E400" s="18"/>
      <c r="F400" s="12"/>
      <c r="G400" s="12"/>
      <c r="H400" s="18"/>
      <c r="I400" s="18"/>
      <c r="J400" s="18"/>
    </row>
    <row r="401" customFormat="false" ht="15" hidden="false" customHeight="false" outlineLevel="0" collapsed="false">
      <c r="A401" s="18"/>
      <c r="B401" s="18"/>
      <c r="C401" s="12"/>
      <c r="D401" s="12"/>
      <c r="E401" s="18"/>
      <c r="F401" s="12"/>
      <c r="G401" s="12"/>
      <c r="H401" s="18"/>
      <c r="I401" s="18"/>
      <c r="J401" s="18"/>
    </row>
    <row r="402" customFormat="false" ht="15" hidden="false" customHeight="false" outlineLevel="0" collapsed="false">
      <c r="A402" s="18"/>
      <c r="B402" s="18"/>
      <c r="C402" s="12"/>
      <c r="D402" s="12"/>
      <c r="E402" s="18"/>
      <c r="F402" s="12"/>
      <c r="G402" s="12"/>
      <c r="H402" s="18"/>
      <c r="I402" s="18"/>
      <c r="J402" s="18"/>
    </row>
    <row r="403" customFormat="false" ht="15" hidden="false" customHeight="false" outlineLevel="0" collapsed="false">
      <c r="A403" s="18"/>
      <c r="B403" s="18"/>
      <c r="C403" s="12"/>
      <c r="D403" s="12"/>
      <c r="E403" s="18"/>
      <c r="F403" s="12"/>
      <c r="G403" s="12"/>
      <c r="H403" s="18"/>
      <c r="I403" s="18"/>
      <c r="J403" s="18"/>
    </row>
    <row r="404" customFormat="false" ht="15" hidden="false" customHeight="false" outlineLevel="0" collapsed="false">
      <c r="A404" s="18"/>
      <c r="B404" s="18"/>
      <c r="C404" s="12"/>
      <c r="D404" s="12"/>
      <c r="E404" s="18"/>
      <c r="F404" s="12"/>
      <c r="G404" s="12"/>
      <c r="H404" s="18"/>
      <c r="I404" s="18"/>
      <c r="J404" s="18"/>
    </row>
    <row r="405" customFormat="false" ht="15" hidden="false" customHeight="false" outlineLevel="0" collapsed="false">
      <c r="A405" s="18"/>
      <c r="B405" s="18"/>
      <c r="C405" s="12"/>
      <c r="D405" s="12"/>
      <c r="E405" s="18"/>
      <c r="F405" s="12"/>
      <c r="G405" s="12"/>
      <c r="H405" s="18"/>
      <c r="I405" s="18"/>
      <c r="J405" s="18"/>
    </row>
    <row r="406" customFormat="false" ht="15" hidden="false" customHeight="false" outlineLevel="0" collapsed="false">
      <c r="A406" s="18"/>
      <c r="B406" s="18"/>
      <c r="C406" s="12"/>
      <c r="D406" s="12"/>
      <c r="E406" s="18"/>
      <c r="F406" s="12"/>
      <c r="G406" s="12"/>
      <c r="H406" s="18"/>
      <c r="I406" s="18"/>
      <c r="J406" s="18"/>
    </row>
    <row r="407" customFormat="false" ht="15" hidden="false" customHeight="false" outlineLevel="0" collapsed="false">
      <c r="A407" s="18"/>
      <c r="B407" s="18"/>
      <c r="C407" s="12"/>
      <c r="D407" s="12"/>
      <c r="E407" s="18"/>
      <c r="F407" s="12"/>
      <c r="G407" s="12"/>
      <c r="H407" s="18"/>
      <c r="I407" s="18"/>
      <c r="J407" s="18"/>
    </row>
    <row r="408" customFormat="false" ht="15" hidden="false" customHeight="false" outlineLevel="0" collapsed="false">
      <c r="A408" s="18"/>
      <c r="B408" s="18"/>
      <c r="C408" s="12"/>
      <c r="D408" s="12"/>
      <c r="E408" s="18"/>
      <c r="F408" s="12"/>
      <c r="G408" s="12"/>
      <c r="H408" s="18"/>
      <c r="I408" s="18"/>
      <c r="J408" s="18"/>
    </row>
    <row r="409" customFormat="false" ht="15" hidden="false" customHeight="false" outlineLevel="0" collapsed="false">
      <c r="A409" s="18"/>
      <c r="B409" s="18"/>
      <c r="C409" s="12"/>
      <c r="D409" s="12"/>
      <c r="E409" s="18"/>
      <c r="F409" s="12"/>
      <c r="G409" s="12"/>
      <c r="H409" s="18"/>
      <c r="I409" s="18"/>
      <c r="J409" s="18"/>
    </row>
    <row r="410" customFormat="false" ht="15" hidden="false" customHeight="false" outlineLevel="0" collapsed="false">
      <c r="A410" s="18"/>
      <c r="B410" s="18"/>
      <c r="C410" s="12"/>
      <c r="D410" s="12"/>
      <c r="E410" s="18"/>
      <c r="F410" s="12"/>
      <c r="G410" s="12"/>
      <c r="H410" s="18"/>
      <c r="I410" s="18"/>
      <c r="J410" s="18"/>
    </row>
    <row r="411" customFormat="false" ht="15" hidden="false" customHeight="false" outlineLevel="0" collapsed="false">
      <c r="A411" s="18"/>
      <c r="B411" s="18"/>
      <c r="C411" s="12"/>
      <c r="D411" s="12"/>
      <c r="E411" s="18"/>
      <c r="F411" s="12"/>
      <c r="G411" s="12"/>
      <c r="H411" s="18"/>
      <c r="I411" s="18"/>
      <c r="J411" s="18"/>
    </row>
    <row r="412" customFormat="false" ht="15" hidden="false" customHeight="false" outlineLevel="0" collapsed="false">
      <c r="A412" s="18"/>
      <c r="B412" s="18"/>
      <c r="C412" s="12"/>
      <c r="D412" s="12"/>
      <c r="E412" s="18"/>
      <c r="F412" s="12"/>
      <c r="G412" s="12"/>
      <c r="H412" s="18"/>
      <c r="I412" s="18"/>
      <c r="J412" s="18"/>
    </row>
    <row r="413" customFormat="false" ht="15" hidden="false" customHeight="false" outlineLevel="0" collapsed="false">
      <c r="A413" s="18"/>
      <c r="B413" s="18"/>
      <c r="C413" s="12"/>
      <c r="D413" s="12"/>
      <c r="E413" s="18"/>
      <c r="F413" s="12"/>
      <c r="G413" s="12"/>
      <c r="H413" s="18"/>
      <c r="I413" s="18"/>
      <c r="J413" s="18"/>
    </row>
    <row r="414" customFormat="false" ht="15" hidden="false" customHeight="false" outlineLevel="0" collapsed="false">
      <c r="A414" s="18"/>
      <c r="B414" s="18"/>
      <c r="C414" s="12"/>
      <c r="D414" s="12"/>
      <c r="E414" s="18"/>
      <c r="F414" s="12"/>
      <c r="G414" s="12"/>
      <c r="H414" s="18"/>
      <c r="I414" s="18"/>
      <c r="J414" s="18"/>
    </row>
    <row r="415" customFormat="false" ht="15" hidden="false" customHeight="false" outlineLevel="0" collapsed="false">
      <c r="A415" s="18"/>
      <c r="B415" s="18"/>
      <c r="C415" s="12"/>
      <c r="D415" s="12"/>
      <c r="E415" s="18"/>
      <c r="F415" s="12"/>
      <c r="G415" s="12"/>
      <c r="H415" s="18"/>
      <c r="I415" s="18"/>
      <c r="J415" s="18"/>
    </row>
    <row r="416" customFormat="false" ht="15" hidden="false" customHeight="false" outlineLevel="0" collapsed="false">
      <c r="A416" s="18"/>
      <c r="B416" s="18"/>
      <c r="C416" s="12"/>
      <c r="D416" s="12"/>
      <c r="E416" s="18"/>
      <c r="F416" s="12"/>
      <c r="G416" s="12"/>
      <c r="H416" s="18"/>
      <c r="I416" s="18"/>
      <c r="J416" s="18"/>
    </row>
    <row r="417" customFormat="false" ht="15" hidden="false" customHeight="false" outlineLevel="0" collapsed="false">
      <c r="A417" s="18"/>
      <c r="B417" s="18"/>
      <c r="C417" s="12"/>
      <c r="D417" s="12"/>
      <c r="E417" s="18"/>
      <c r="F417" s="12"/>
      <c r="G417" s="12"/>
      <c r="H417" s="18"/>
      <c r="I417" s="18"/>
      <c r="J417" s="18"/>
    </row>
    <row r="418" customFormat="false" ht="15" hidden="false" customHeight="false" outlineLevel="0" collapsed="false">
      <c r="A418" s="18"/>
      <c r="B418" s="18"/>
      <c r="C418" s="12"/>
      <c r="D418" s="12"/>
      <c r="E418" s="18"/>
      <c r="F418" s="12"/>
      <c r="G418" s="12"/>
      <c r="H418" s="18"/>
      <c r="I418" s="18"/>
      <c r="J418" s="18"/>
    </row>
    <row r="419" customFormat="false" ht="15" hidden="false" customHeight="false" outlineLevel="0" collapsed="false">
      <c r="A419" s="18"/>
      <c r="B419" s="18"/>
      <c r="C419" s="12"/>
      <c r="D419" s="12"/>
      <c r="E419" s="18"/>
      <c r="F419" s="12"/>
      <c r="G419" s="12"/>
      <c r="H419" s="18"/>
      <c r="I419" s="18"/>
      <c r="J419" s="18"/>
    </row>
    <row r="420" customFormat="false" ht="15" hidden="false" customHeight="false" outlineLevel="0" collapsed="false">
      <c r="A420" s="18"/>
      <c r="B420" s="18"/>
      <c r="C420" s="12"/>
      <c r="D420" s="12"/>
      <c r="E420" s="18"/>
      <c r="F420" s="12"/>
      <c r="G420" s="12"/>
      <c r="H420" s="18"/>
      <c r="I420" s="18"/>
      <c r="J420" s="18"/>
    </row>
    <row r="421" customFormat="false" ht="15" hidden="false" customHeight="false" outlineLevel="0" collapsed="false">
      <c r="A421" s="18"/>
      <c r="B421" s="18"/>
      <c r="C421" s="12"/>
      <c r="D421" s="12"/>
      <c r="E421" s="18"/>
      <c r="F421" s="12"/>
      <c r="G421" s="12"/>
      <c r="H421" s="18"/>
      <c r="I421" s="18"/>
      <c r="J421" s="18"/>
    </row>
    <row r="422" customFormat="false" ht="15" hidden="false" customHeight="false" outlineLevel="0" collapsed="false">
      <c r="A422" s="18"/>
      <c r="B422" s="18"/>
      <c r="C422" s="12"/>
      <c r="D422" s="12"/>
      <c r="E422" s="18"/>
      <c r="F422" s="12"/>
      <c r="G422" s="12"/>
      <c r="H422" s="18"/>
      <c r="I422" s="18"/>
      <c r="J422" s="18"/>
    </row>
    <row r="423" customFormat="false" ht="15" hidden="false" customHeight="false" outlineLevel="0" collapsed="false">
      <c r="A423" s="18"/>
      <c r="B423" s="18"/>
      <c r="C423" s="12"/>
      <c r="D423" s="12"/>
      <c r="E423" s="18"/>
      <c r="F423" s="12"/>
      <c r="G423" s="12"/>
      <c r="H423" s="18"/>
      <c r="I423" s="18"/>
      <c r="J423" s="18"/>
    </row>
    <row r="424" customFormat="false" ht="15" hidden="false" customHeight="false" outlineLevel="0" collapsed="false">
      <c r="A424" s="18"/>
      <c r="B424" s="18"/>
      <c r="C424" s="12"/>
      <c r="D424" s="12"/>
      <c r="E424" s="18"/>
      <c r="F424" s="12"/>
      <c r="G424" s="12"/>
      <c r="H424" s="18"/>
      <c r="I424" s="18"/>
      <c r="J424" s="18"/>
    </row>
    <row r="425" customFormat="false" ht="15" hidden="false" customHeight="false" outlineLevel="0" collapsed="false">
      <c r="A425" s="18"/>
      <c r="B425" s="18"/>
      <c r="C425" s="12"/>
      <c r="D425" s="12"/>
      <c r="E425" s="18"/>
      <c r="F425" s="12"/>
      <c r="G425" s="12"/>
      <c r="H425" s="18"/>
      <c r="I425" s="18"/>
      <c r="J425" s="18"/>
    </row>
    <row r="426" customFormat="false" ht="15" hidden="false" customHeight="false" outlineLevel="0" collapsed="false">
      <c r="A426" s="18"/>
      <c r="B426" s="18"/>
      <c r="C426" s="12"/>
      <c r="D426" s="12"/>
      <c r="E426" s="18"/>
      <c r="F426" s="12"/>
      <c r="G426" s="12"/>
      <c r="H426" s="18"/>
      <c r="I426" s="18"/>
      <c r="J426" s="18"/>
    </row>
    <row r="427" customFormat="false" ht="15" hidden="false" customHeight="false" outlineLevel="0" collapsed="false">
      <c r="A427" s="18"/>
      <c r="B427" s="18"/>
      <c r="C427" s="12"/>
      <c r="D427" s="12"/>
      <c r="E427" s="18"/>
      <c r="F427" s="12"/>
      <c r="G427" s="12"/>
      <c r="H427" s="18"/>
      <c r="I427" s="18"/>
      <c r="J427" s="18"/>
    </row>
    <row r="428" customFormat="false" ht="15" hidden="false" customHeight="false" outlineLevel="0" collapsed="false">
      <c r="A428" s="18"/>
      <c r="B428" s="18"/>
      <c r="C428" s="12"/>
      <c r="D428" s="12"/>
      <c r="E428" s="18"/>
      <c r="F428" s="12"/>
      <c r="G428" s="12"/>
      <c r="H428" s="18"/>
      <c r="I428" s="18"/>
      <c r="J428" s="18"/>
    </row>
    <row r="429" customFormat="false" ht="15" hidden="false" customHeight="false" outlineLevel="0" collapsed="false">
      <c r="A429" s="18"/>
      <c r="B429" s="18"/>
      <c r="C429" s="12"/>
      <c r="D429" s="12"/>
      <c r="E429" s="18"/>
      <c r="F429" s="12"/>
      <c r="G429" s="12"/>
      <c r="H429" s="18"/>
      <c r="I429" s="18"/>
      <c r="J429" s="18"/>
    </row>
    <row r="430" customFormat="false" ht="15" hidden="false" customHeight="false" outlineLevel="0" collapsed="false">
      <c r="A430" s="18"/>
      <c r="B430" s="18"/>
      <c r="C430" s="12"/>
      <c r="D430" s="12"/>
      <c r="E430" s="18"/>
      <c r="F430" s="12"/>
      <c r="G430" s="12"/>
      <c r="H430" s="18"/>
      <c r="I430" s="18"/>
      <c r="J430" s="18"/>
    </row>
    <row r="431" customFormat="false" ht="15" hidden="false" customHeight="false" outlineLevel="0" collapsed="false">
      <c r="A431" s="18"/>
      <c r="B431" s="18"/>
      <c r="C431" s="12"/>
      <c r="D431" s="12"/>
      <c r="E431" s="18"/>
      <c r="F431" s="12"/>
      <c r="G431" s="12"/>
      <c r="H431" s="18"/>
      <c r="I431" s="18"/>
      <c r="J431" s="18"/>
    </row>
    <row r="432" customFormat="false" ht="15" hidden="false" customHeight="false" outlineLevel="0" collapsed="false">
      <c r="A432" s="18"/>
      <c r="B432" s="18"/>
      <c r="C432" s="12"/>
      <c r="D432" s="12"/>
      <c r="E432" s="18"/>
      <c r="F432" s="12"/>
      <c r="G432" s="12"/>
      <c r="H432" s="18"/>
      <c r="I432" s="18"/>
      <c r="J432" s="18"/>
    </row>
    <row r="433" customFormat="false" ht="15" hidden="false" customHeight="false" outlineLevel="0" collapsed="false">
      <c r="A433" s="18"/>
      <c r="B433" s="18"/>
      <c r="C433" s="12"/>
      <c r="D433" s="12"/>
      <c r="E433" s="18"/>
      <c r="F433" s="12"/>
      <c r="G433" s="12"/>
      <c r="H433" s="18"/>
      <c r="I433" s="18"/>
      <c r="J433" s="18"/>
    </row>
    <row r="434" customFormat="false" ht="15" hidden="false" customHeight="false" outlineLevel="0" collapsed="false">
      <c r="A434" s="18"/>
      <c r="B434" s="18"/>
      <c r="C434" s="12"/>
      <c r="D434" s="12"/>
      <c r="E434" s="18"/>
      <c r="F434" s="12"/>
      <c r="G434" s="12"/>
      <c r="H434" s="18"/>
      <c r="I434" s="18"/>
      <c r="J434" s="18"/>
    </row>
    <row r="435" customFormat="false" ht="15" hidden="false" customHeight="false" outlineLevel="0" collapsed="false">
      <c r="A435" s="18"/>
      <c r="B435" s="18"/>
      <c r="C435" s="12"/>
      <c r="D435" s="12"/>
      <c r="E435" s="18"/>
      <c r="F435" s="12"/>
      <c r="G435" s="12"/>
      <c r="H435" s="18"/>
      <c r="I435" s="18"/>
      <c r="J435" s="18"/>
    </row>
    <row r="436" customFormat="false" ht="15" hidden="false" customHeight="false" outlineLevel="0" collapsed="false">
      <c r="A436" s="18"/>
      <c r="B436" s="18"/>
      <c r="C436" s="12"/>
      <c r="D436" s="12"/>
      <c r="E436" s="18"/>
      <c r="F436" s="12"/>
      <c r="G436" s="12"/>
      <c r="H436" s="18"/>
      <c r="I436" s="18"/>
      <c r="J436" s="18"/>
    </row>
    <row r="437" customFormat="false" ht="15" hidden="false" customHeight="false" outlineLevel="0" collapsed="false">
      <c r="A437" s="18"/>
      <c r="B437" s="18"/>
      <c r="C437" s="12"/>
      <c r="D437" s="12"/>
      <c r="E437" s="18"/>
      <c r="F437" s="12"/>
      <c r="G437" s="12"/>
      <c r="H437" s="18"/>
      <c r="I437" s="18"/>
      <c r="J437" s="18"/>
    </row>
    <row r="438" customFormat="false" ht="15" hidden="false" customHeight="false" outlineLevel="0" collapsed="false">
      <c r="A438" s="18"/>
      <c r="B438" s="18"/>
      <c r="C438" s="12"/>
      <c r="D438" s="12"/>
      <c r="E438" s="18"/>
      <c r="F438" s="12"/>
      <c r="G438" s="12"/>
      <c r="H438" s="18"/>
      <c r="I438" s="18"/>
      <c r="J438" s="18"/>
    </row>
    <row r="439" customFormat="false" ht="15" hidden="false" customHeight="false" outlineLevel="0" collapsed="false">
      <c r="A439" s="18"/>
      <c r="B439" s="18"/>
      <c r="C439" s="12"/>
      <c r="D439" s="12"/>
      <c r="E439" s="18"/>
      <c r="F439" s="12"/>
      <c r="G439" s="12"/>
      <c r="H439" s="18"/>
      <c r="I439" s="18"/>
      <c r="J439" s="18"/>
    </row>
    <row r="440" customFormat="false" ht="15" hidden="false" customHeight="false" outlineLevel="0" collapsed="false">
      <c r="A440" s="18"/>
      <c r="B440" s="18"/>
      <c r="C440" s="12"/>
      <c r="D440" s="12"/>
      <c r="E440" s="18"/>
      <c r="F440" s="12"/>
      <c r="G440" s="12"/>
      <c r="H440" s="18"/>
      <c r="I440" s="18"/>
      <c r="J440" s="18"/>
    </row>
    <row r="441" customFormat="false" ht="15" hidden="false" customHeight="false" outlineLevel="0" collapsed="false">
      <c r="A441" s="18"/>
      <c r="B441" s="18"/>
      <c r="C441" s="12"/>
      <c r="D441" s="12"/>
      <c r="E441" s="18"/>
      <c r="F441" s="12"/>
      <c r="G441" s="12"/>
      <c r="H441" s="18"/>
      <c r="I441" s="18"/>
      <c r="J441" s="18"/>
    </row>
    <row r="442" customFormat="false" ht="15" hidden="false" customHeight="false" outlineLevel="0" collapsed="false">
      <c r="A442" s="18"/>
      <c r="B442" s="18"/>
      <c r="C442" s="12"/>
      <c r="D442" s="12"/>
      <c r="E442" s="18"/>
      <c r="F442" s="12"/>
      <c r="G442" s="12"/>
      <c r="H442" s="18"/>
      <c r="I442" s="18"/>
      <c r="J442" s="18"/>
    </row>
    <row r="443" customFormat="false" ht="15" hidden="false" customHeight="false" outlineLevel="0" collapsed="false">
      <c r="A443" s="18"/>
      <c r="B443" s="18"/>
      <c r="C443" s="12"/>
      <c r="D443" s="12"/>
      <c r="E443" s="18"/>
      <c r="F443" s="12"/>
      <c r="G443" s="12"/>
      <c r="H443" s="18"/>
      <c r="I443" s="18"/>
      <c r="J443" s="18"/>
    </row>
    <row r="444" customFormat="false" ht="15" hidden="false" customHeight="false" outlineLevel="0" collapsed="false">
      <c r="A444" s="18"/>
      <c r="B444" s="18"/>
      <c r="C444" s="12"/>
      <c r="D444" s="12"/>
      <c r="E444" s="18"/>
      <c r="F444" s="12"/>
      <c r="G444" s="12"/>
      <c r="H444" s="18"/>
      <c r="I444" s="18"/>
      <c r="J444" s="18"/>
    </row>
    <row r="445" customFormat="false" ht="15" hidden="false" customHeight="false" outlineLevel="0" collapsed="false">
      <c r="A445" s="18"/>
      <c r="B445" s="18"/>
      <c r="C445" s="12"/>
      <c r="D445" s="12"/>
      <c r="E445" s="18"/>
      <c r="F445" s="12"/>
      <c r="G445" s="12"/>
      <c r="H445" s="18"/>
      <c r="I445" s="18"/>
      <c r="J445" s="18"/>
    </row>
    <row r="446" customFormat="false" ht="15" hidden="false" customHeight="false" outlineLevel="0" collapsed="false">
      <c r="A446" s="18"/>
      <c r="B446" s="18"/>
      <c r="C446" s="12"/>
      <c r="D446" s="12"/>
      <c r="E446" s="18"/>
      <c r="F446" s="12"/>
      <c r="G446" s="12"/>
      <c r="H446" s="18"/>
      <c r="I446" s="18"/>
      <c r="J446" s="18"/>
    </row>
    <row r="447" customFormat="false" ht="15" hidden="false" customHeight="false" outlineLevel="0" collapsed="false">
      <c r="A447" s="18"/>
      <c r="B447" s="18"/>
      <c r="C447" s="12"/>
      <c r="D447" s="12"/>
      <c r="E447" s="18"/>
      <c r="F447" s="12"/>
      <c r="G447" s="12"/>
      <c r="H447" s="18"/>
      <c r="I447" s="18"/>
      <c r="J447" s="18"/>
    </row>
    <row r="448" customFormat="false" ht="15" hidden="false" customHeight="false" outlineLevel="0" collapsed="false">
      <c r="A448" s="18"/>
      <c r="B448" s="18"/>
      <c r="C448" s="12"/>
      <c r="D448" s="12"/>
      <c r="E448" s="18"/>
      <c r="F448" s="12"/>
      <c r="G448" s="12"/>
      <c r="H448" s="18"/>
      <c r="I448" s="18"/>
      <c r="J448" s="18"/>
    </row>
    <row r="449" customFormat="false" ht="15" hidden="false" customHeight="false" outlineLevel="0" collapsed="false">
      <c r="A449" s="18"/>
      <c r="B449" s="18"/>
      <c r="C449" s="12"/>
      <c r="D449" s="12"/>
      <c r="E449" s="18"/>
      <c r="F449" s="12"/>
      <c r="G449" s="12"/>
      <c r="H449" s="18"/>
      <c r="I449" s="18"/>
      <c r="J449" s="18"/>
    </row>
    <row r="450" customFormat="false" ht="15" hidden="false" customHeight="false" outlineLevel="0" collapsed="false">
      <c r="A450" s="18"/>
      <c r="B450" s="18"/>
      <c r="C450" s="12"/>
      <c r="D450" s="12"/>
      <c r="E450" s="18"/>
      <c r="F450" s="12"/>
      <c r="G450" s="12"/>
      <c r="H450" s="18"/>
      <c r="I450" s="18"/>
      <c r="J450" s="18"/>
    </row>
    <row r="451" customFormat="false" ht="15" hidden="false" customHeight="false" outlineLevel="0" collapsed="false">
      <c r="A451" s="18"/>
      <c r="B451" s="18"/>
      <c r="C451" s="12"/>
      <c r="D451" s="12"/>
      <c r="E451" s="18"/>
      <c r="F451" s="12"/>
      <c r="G451" s="12"/>
      <c r="H451" s="18"/>
      <c r="I451" s="18"/>
      <c r="J451" s="18"/>
    </row>
    <row r="452" customFormat="false" ht="15" hidden="false" customHeight="false" outlineLevel="0" collapsed="false">
      <c r="A452" s="18"/>
      <c r="B452" s="18"/>
      <c r="C452" s="12"/>
      <c r="D452" s="12"/>
      <c r="E452" s="18"/>
      <c r="F452" s="12"/>
      <c r="G452" s="12"/>
      <c r="H452" s="18"/>
      <c r="I452" s="18"/>
      <c r="J452" s="18"/>
    </row>
    <row r="453" customFormat="false" ht="15" hidden="false" customHeight="false" outlineLevel="0" collapsed="false">
      <c r="A453" s="18"/>
      <c r="B453" s="18"/>
      <c r="C453" s="12"/>
      <c r="D453" s="12"/>
      <c r="E453" s="18"/>
      <c r="F453" s="12"/>
      <c r="G453" s="12"/>
      <c r="H453" s="18"/>
      <c r="I453" s="18"/>
      <c r="J453" s="18"/>
    </row>
    <row r="454" customFormat="false" ht="15" hidden="false" customHeight="false" outlineLevel="0" collapsed="false">
      <c r="A454" s="18"/>
      <c r="B454" s="18"/>
      <c r="C454" s="12"/>
      <c r="D454" s="12"/>
      <c r="E454" s="18"/>
      <c r="F454" s="12"/>
      <c r="G454" s="12"/>
      <c r="H454" s="18"/>
      <c r="I454" s="18"/>
      <c r="J454" s="18"/>
    </row>
    <row r="455" customFormat="false" ht="15" hidden="false" customHeight="false" outlineLevel="0" collapsed="false">
      <c r="A455" s="18"/>
      <c r="B455" s="18"/>
      <c r="C455" s="12"/>
      <c r="D455" s="12"/>
      <c r="E455" s="18"/>
      <c r="F455" s="12"/>
      <c r="G455" s="12"/>
      <c r="H455" s="18"/>
      <c r="I455" s="18"/>
      <c r="J455" s="18"/>
    </row>
    <row r="456" customFormat="false" ht="15" hidden="false" customHeight="false" outlineLevel="0" collapsed="false">
      <c r="A456" s="18"/>
      <c r="B456" s="18"/>
      <c r="C456" s="12"/>
      <c r="D456" s="12"/>
      <c r="E456" s="18"/>
      <c r="F456" s="12"/>
      <c r="G456" s="12"/>
      <c r="H456" s="18"/>
      <c r="I456" s="18"/>
      <c r="J456" s="18"/>
    </row>
    <row r="457" customFormat="false" ht="15" hidden="false" customHeight="false" outlineLevel="0" collapsed="false">
      <c r="A457" s="18"/>
      <c r="B457" s="18"/>
      <c r="C457" s="12"/>
      <c r="D457" s="12"/>
      <c r="E457" s="18"/>
      <c r="F457" s="12"/>
      <c r="G457" s="12"/>
      <c r="H457" s="18"/>
      <c r="I457" s="18"/>
      <c r="J457" s="18"/>
    </row>
    <row r="458" customFormat="false" ht="15" hidden="false" customHeight="false" outlineLevel="0" collapsed="false">
      <c r="A458" s="18"/>
      <c r="B458" s="18"/>
      <c r="C458" s="12"/>
      <c r="D458" s="12"/>
      <c r="E458" s="18"/>
      <c r="F458" s="12"/>
      <c r="G458" s="12"/>
      <c r="H458" s="18"/>
      <c r="I458" s="18"/>
      <c r="J458" s="18"/>
    </row>
    <row r="459" customFormat="false" ht="15" hidden="false" customHeight="false" outlineLevel="0" collapsed="false">
      <c r="A459" s="18"/>
      <c r="B459" s="18"/>
      <c r="C459" s="12"/>
      <c r="D459" s="12"/>
      <c r="E459" s="18"/>
      <c r="F459" s="12"/>
      <c r="G459" s="12"/>
      <c r="H459" s="18"/>
      <c r="I459" s="18"/>
      <c r="J459" s="18"/>
    </row>
    <row r="460" customFormat="false" ht="15" hidden="false" customHeight="false" outlineLevel="0" collapsed="false">
      <c r="A460" s="18"/>
      <c r="B460" s="18"/>
      <c r="C460" s="12"/>
      <c r="D460" s="12"/>
      <c r="E460" s="18"/>
      <c r="F460" s="12"/>
      <c r="G460" s="12"/>
      <c r="H460" s="18"/>
      <c r="I460" s="18"/>
      <c r="J460" s="18"/>
    </row>
    <row r="461" customFormat="false" ht="15" hidden="false" customHeight="false" outlineLevel="0" collapsed="false">
      <c r="A461" s="18"/>
      <c r="B461" s="18"/>
      <c r="C461" s="12"/>
      <c r="D461" s="12"/>
      <c r="E461" s="18"/>
      <c r="F461" s="12"/>
      <c r="G461" s="12"/>
      <c r="H461" s="18"/>
      <c r="I461" s="18"/>
      <c r="J461" s="18"/>
    </row>
    <row r="462" customFormat="false" ht="15" hidden="false" customHeight="false" outlineLevel="0" collapsed="false">
      <c r="A462" s="18"/>
      <c r="B462" s="18"/>
      <c r="C462" s="12"/>
      <c r="D462" s="12"/>
      <c r="E462" s="18"/>
      <c r="F462" s="12"/>
      <c r="G462" s="12"/>
      <c r="H462" s="18"/>
      <c r="I462" s="18"/>
      <c r="J462" s="18"/>
    </row>
    <row r="463" customFormat="false" ht="15" hidden="false" customHeight="false" outlineLevel="0" collapsed="false">
      <c r="A463" s="18"/>
      <c r="B463" s="18"/>
      <c r="C463" s="12"/>
      <c r="D463" s="12"/>
      <c r="E463" s="18"/>
      <c r="F463" s="12"/>
      <c r="G463" s="12"/>
      <c r="H463" s="18"/>
      <c r="I463" s="18"/>
      <c r="J463" s="18"/>
    </row>
    <row r="464" customFormat="false" ht="15" hidden="false" customHeight="false" outlineLevel="0" collapsed="false">
      <c r="A464" s="18"/>
      <c r="B464" s="18"/>
      <c r="C464" s="12"/>
      <c r="D464" s="12"/>
      <c r="E464" s="18"/>
      <c r="F464" s="12"/>
      <c r="G464" s="12"/>
      <c r="H464" s="18"/>
      <c r="I464" s="18"/>
      <c r="J464" s="18"/>
    </row>
    <row r="465" customFormat="false" ht="15" hidden="false" customHeight="false" outlineLevel="0" collapsed="false">
      <c r="A465" s="18"/>
      <c r="B465" s="18"/>
      <c r="C465" s="12"/>
      <c r="D465" s="12"/>
      <c r="E465" s="18"/>
      <c r="F465" s="12"/>
      <c r="G465" s="12"/>
      <c r="H465" s="18"/>
      <c r="I465" s="18"/>
      <c r="J465" s="18"/>
    </row>
    <row r="466" customFormat="false" ht="15" hidden="false" customHeight="false" outlineLevel="0" collapsed="false">
      <c r="A466" s="18"/>
      <c r="B466" s="18"/>
      <c r="C466" s="12"/>
      <c r="D466" s="12"/>
      <c r="E466" s="18"/>
      <c r="F466" s="12"/>
      <c r="G466" s="12"/>
      <c r="H466" s="18"/>
      <c r="I466" s="18"/>
      <c r="J466" s="18"/>
    </row>
    <row r="467" customFormat="false" ht="15" hidden="false" customHeight="false" outlineLevel="0" collapsed="false">
      <c r="A467" s="18"/>
      <c r="B467" s="18"/>
      <c r="C467" s="12"/>
      <c r="D467" s="12"/>
      <c r="E467" s="18"/>
      <c r="F467" s="12"/>
      <c r="G467" s="12"/>
      <c r="H467" s="18"/>
      <c r="I467" s="18"/>
      <c r="J467" s="18"/>
    </row>
    <row r="468" customFormat="false" ht="15" hidden="false" customHeight="false" outlineLevel="0" collapsed="false">
      <c r="A468" s="18"/>
      <c r="B468" s="18"/>
      <c r="C468" s="12"/>
      <c r="D468" s="12"/>
      <c r="E468" s="18"/>
      <c r="F468" s="12"/>
      <c r="G468" s="12"/>
      <c r="H468" s="18"/>
      <c r="I468" s="18"/>
      <c r="J468" s="18"/>
    </row>
    <row r="469" customFormat="false" ht="15" hidden="false" customHeight="false" outlineLevel="0" collapsed="false">
      <c r="A469" s="18"/>
      <c r="B469" s="18"/>
      <c r="C469" s="12"/>
      <c r="D469" s="12"/>
      <c r="E469" s="18"/>
      <c r="F469" s="12"/>
      <c r="G469" s="12"/>
      <c r="H469" s="18"/>
      <c r="I469" s="18"/>
      <c r="J469" s="18"/>
    </row>
    <row r="470" customFormat="false" ht="15" hidden="false" customHeight="false" outlineLevel="0" collapsed="false">
      <c r="A470" s="18"/>
      <c r="B470" s="18"/>
      <c r="C470" s="12"/>
      <c r="D470" s="12"/>
      <c r="E470" s="18"/>
      <c r="F470" s="12"/>
      <c r="G470" s="12"/>
      <c r="H470" s="18"/>
      <c r="I470" s="18"/>
      <c r="J470" s="18"/>
    </row>
    <row r="471" customFormat="false" ht="15" hidden="false" customHeight="false" outlineLevel="0" collapsed="false">
      <c r="A471" s="18"/>
      <c r="B471" s="18"/>
      <c r="C471" s="12"/>
      <c r="D471" s="12"/>
      <c r="E471" s="18"/>
      <c r="F471" s="12"/>
      <c r="G471" s="12"/>
      <c r="H471" s="18"/>
      <c r="I471" s="18"/>
      <c r="J471" s="18"/>
    </row>
    <row r="472" customFormat="false" ht="15" hidden="false" customHeight="false" outlineLevel="0" collapsed="false">
      <c r="A472" s="18"/>
      <c r="B472" s="18"/>
      <c r="C472" s="12"/>
      <c r="D472" s="12"/>
      <c r="E472" s="18"/>
      <c r="F472" s="12"/>
      <c r="G472" s="12"/>
      <c r="H472" s="18"/>
      <c r="I472" s="18"/>
      <c r="J472" s="18"/>
    </row>
    <row r="473" customFormat="false" ht="15" hidden="false" customHeight="false" outlineLevel="0" collapsed="false">
      <c r="A473" s="18"/>
      <c r="B473" s="18"/>
      <c r="C473" s="12"/>
      <c r="D473" s="12"/>
      <c r="E473" s="18"/>
      <c r="F473" s="12"/>
      <c r="G473" s="12"/>
      <c r="H473" s="18"/>
      <c r="I473" s="18"/>
      <c r="J473" s="18"/>
    </row>
    <row r="474" customFormat="false" ht="15" hidden="false" customHeight="false" outlineLevel="0" collapsed="false">
      <c r="A474" s="18"/>
      <c r="B474" s="18"/>
      <c r="C474" s="12"/>
      <c r="D474" s="12"/>
      <c r="E474" s="18"/>
      <c r="F474" s="12"/>
      <c r="G474" s="12"/>
      <c r="H474" s="18"/>
      <c r="I474" s="18"/>
      <c r="J474" s="18"/>
    </row>
    <row r="475" customFormat="false" ht="15" hidden="false" customHeight="false" outlineLevel="0" collapsed="false">
      <c r="A475" s="18"/>
      <c r="B475" s="18"/>
      <c r="C475" s="12"/>
      <c r="D475" s="12"/>
      <c r="E475" s="18"/>
      <c r="F475" s="12"/>
      <c r="G475" s="12"/>
      <c r="H475" s="18"/>
      <c r="I475" s="18"/>
      <c r="J475" s="18"/>
    </row>
    <row r="476" customFormat="false" ht="15" hidden="false" customHeight="false" outlineLevel="0" collapsed="false">
      <c r="A476" s="18"/>
      <c r="B476" s="18"/>
      <c r="C476" s="12"/>
      <c r="D476" s="12"/>
      <c r="E476" s="18"/>
      <c r="F476" s="12"/>
      <c r="G476" s="12"/>
      <c r="H476" s="18"/>
      <c r="I476" s="18"/>
      <c r="J476" s="18"/>
    </row>
    <row r="477" customFormat="false" ht="15" hidden="false" customHeight="false" outlineLevel="0" collapsed="false">
      <c r="A477" s="18"/>
      <c r="B477" s="18"/>
      <c r="C477" s="12"/>
      <c r="D477" s="12"/>
      <c r="E477" s="18"/>
      <c r="F477" s="12"/>
      <c r="G477" s="12"/>
      <c r="H477" s="18"/>
      <c r="I477" s="18"/>
      <c r="J477" s="18"/>
    </row>
    <row r="478" customFormat="false" ht="15" hidden="false" customHeight="false" outlineLevel="0" collapsed="false">
      <c r="A478" s="18"/>
      <c r="B478" s="18"/>
      <c r="C478" s="12"/>
      <c r="D478" s="12"/>
      <c r="E478" s="18"/>
      <c r="F478" s="12"/>
      <c r="G478" s="12"/>
      <c r="H478" s="18"/>
      <c r="I478" s="18"/>
      <c r="J478" s="18"/>
    </row>
    <row r="479" customFormat="false" ht="15" hidden="false" customHeight="false" outlineLevel="0" collapsed="false">
      <c r="A479" s="18"/>
      <c r="B479" s="18"/>
      <c r="C479" s="12"/>
      <c r="D479" s="12"/>
      <c r="E479" s="18"/>
      <c r="F479" s="12"/>
      <c r="G479" s="12"/>
      <c r="H479" s="18"/>
      <c r="I479" s="18"/>
      <c r="J479" s="18"/>
    </row>
    <row r="480" customFormat="false" ht="15" hidden="false" customHeight="false" outlineLevel="0" collapsed="false">
      <c r="A480" s="18"/>
      <c r="B480" s="18"/>
      <c r="C480" s="12"/>
      <c r="D480" s="12"/>
      <c r="E480" s="18"/>
      <c r="F480" s="12"/>
      <c r="G480" s="12"/>
      <c r="H480" s="18"/>
      <c r="I480" s="18"/>
      <c r="J480" s="18"/>
    </row>
    <row r="481" customFormat="false" ht="15" hidden="false" customHeight="false" outlineLevel="0" collapsed="false">
      <c r="A481" s="18"/>
      <c r="B481" s="18"/>
      <c r="C481" s="12"/>
      <c r="D481" s="12"/>
      <c r="E481" s="18"/>
      <c r="F481" s="12"/>
      <c r="G481" s="12"/>
      <c r="H481" s="18"/>
      <c r="I481" s="18"/>
      <c r="J481" s="18"/>
    </row>
    <row r="482" customFormat="false" ht="15" hidden="false" customHeight="false" outlineLevel="0" collapsed="false">
      <c r="A482" s="18"/>
      <c r="B482" s="18"/>
      <c r="C482" s="12"/>
      <c r="D482" s="12"/>
      <c r="E482" s="18"/>
      <c r="F482" s="12"/>
      <c r="G482" s="12"/>
      <c r="H482" s="18"/>
      <c r="I482" s="18"/>
      <c r="J482" s="18"/>
    </row>
    <row r="483" customFormat="false" ht="15" hidden="false" customHeight="false" outlineLevel="0" collapsed="false">
      <c r="A483" s="18"/>
      <c r="B483" s="18"/>
      <c r="C483" s="12"/>
      <c r="D483" s="12"/>
      <c r="E483" s="18"/>
      <c r="F483" s="12"/>
      <c r="G483" s="12"/>
      <c r="H483" s="18"/>
      <c r="I483" s="18"/>
      <c r="J483" s="18"/>
    </row>
    <row r="484" customFormat="false" ht="15" hidden="false" customHeight="false" outlineLevel="0" collapsed="false">
      <c r="A484" s="18"/>
      <c r="B484" s="18"/>
      <c r="C484" s="12"/>
      <c r="D484" s="12"/>
      <c r="E484" s="18"/>
      <c r="F484" s="12"/>
      <c r="G484" s="12"/>
      <c r="H484" s="18"/>
      <c r="I484" s="18"/>
      <c r="J484" s="18"/>
    </row>
    <row r="485" customFormat="false" ht="15" hidden="false" customHeight="false" outlineLevel="0" collapsed="false">
      <c r="A485" s="18"/>
      <c r="B485" s="18"/>
      <c r="C485" s="12"/>
      <c r="D485" s="12"/>
      <c r="E485" s="18"/>
      <c r="F485" s="12"/>
      <c r="G485" s="12"/>
      <c r="H485" s="18"/>
      <c r="I485" s="18"/>
      <c r="J485" s="18"/>
    </row>
    <row r="486" customFormat="false" ht="15" hidden="false" customHeight="false" outlineLevel="0" collapsed="false">
      <c r="A486" s="18"/>
      <c r="B486" s="18"/>
      <c r="C486" s="12"/>
      <c r="D486" s="12"/>
      <c r="E486" s="18"/>
      <c r="F486" s="12"/>
      <c r="G486" s="12"/>
      <c r="H486" s="18"/>
      <c r="I486" s="18"/>
      <c r="J486" s="18"/>
    </row>
    <row r="487" customFormat="false" ht="15" hidden="false" customHeight="false" outlineLevel="0" collapsed="false">
      <c r="A487" s="18"/>
      <c r="B487" s="18"/>
      <c r="C487" s="12"/>
      <c r="D487" s="12"/>
      <c r="E487" s="18"/>
      <c r="F487" s="12"/>
      <c r="G487" s="12"/>
      <c r="H487" s="18"/>
      <c r="I487" s="18"/>
      <c r="J487" s="18"/>
    </row>
    <row r="488" customFormat="false" ht="15" hidden="false" customHeight="false" outlineLevel="0" collapsed="false">
      <c r="A488" s="18"/>
      <c r="B488" s="18"/>
      <c r="C488" s="12"/>
      <c r="D488" s="12"/>
      <c r="E488" s="18"/>
      <c r="F488" s="12"/>
      <c r="G488" s="12"/>
      <c r="H488" s="18"/>
      <c r="I488" s="18"/>
      <c r="J488" s="18"/>
    </row>
    <row r="489" customFormat="false" ht="15" hidden="false" customHeight="false" outlineLevel="0" collapsed="false">
      <c r="A489" s="18"/>
      <c r="B489" s="18"/>
      <c r="C489" s="12"/>
      <c r="D489" s="12"/>
      <c r="E489" s="18"/>
      <c r="F489" s="12"/>
      <c r="G489" s="12"/>
      <c r="H489" s="18"/>
      <c r="I489" s="18"/>
      <c r="J489" s="18"/>
    </row>
    <row r="490" customFormat="false" ht="15" hidden="false" customHeight="false" outlineLevel="0" collapsed="false">
      <c r="A490" s="18"/>
      <c r="B490" s="18"/>
      <c r="C490" s="12"/>
      <c r="D490" s="12"/>
      <c r="E490" s="18"/>
      <c r="F490" s="12"/>
      <c r="G490" s="12"/>
      <c r="H490" s="18"/>
      <c r="I490" s="18"/>
      <c r="J490" s="18"/>
    </row>
    <row r="491" customFormat="false" ht="15" hidden="false" customHeight="false" outlineLevel="0" collapsed="false">
      <c r="A491" s="18"/>
      <c r="B491" s="18"/>
      <c r="C491" s="12"/>
      <c r="D491" s="12"/>
      <c r="E491" s="18"/>
      <c r="F491" s="12"/>
      <c r="G491" s="12"/>
      <c r="H491" s="18"/>
      <c r="I491" s="18"/>
      <c r="J491" s="18"/>
    </row>
    <row r="492" customFormat="false" ht="15" hidden="false" customHeight="false" outlineLevel="0" collapsed="false">
      <c r="A492" s="18"/>
      <c r="B492" s="18"/>
      <c r="C492" s="12"/>
      <c r="D492" s="12"/>
      <c r="E492" s="18"/>
      <c r="F492" s="12"/>
      <c r="G492" s="12"/>
      <c r="H492" s="18"/>
      <c r="I492" s="18"/>
      <c r="J492" s="18"/>
    </row>
    <row r="493" customFormat="false" ht="15" hidden="false" customHeight="false" outlineLevel="0" collapsed="false">
      <c r="A493" s="18"/>
      <c r="B493" s="18"/>
      <c r="C493" s="12"/>
      <c r="D493" s="12"/>
      <c r="E493" s="18"/>
      <c r="F493" s="12"/>
      <c r="G493" s="12"/>
      <c r="H493" s="18"/>
      <c r="I493" s="18"/>
      <c r="J493" s="18"/>
    </row>
    <row r="494" customFormat="false" ht="15" hidden="false" customHeight="false" outlineLevel="0" collapsed="false">
      <c r="A494" s="18"/>
      <c r="B494" s="18"/>
      <c r="C494" s="12"/>
      <c r="D494" s="12"/>
      <c r="E494" s="18"/>
      <c r="F494" s="12"/>
      <c r="G494" s="12"/>
      <c r="H494" s="18"/>
      <c r="I494" s="18"/>
      <c r="J494" s="18"/>
    </row>
    <row r="495" customFormat="false" ht="15" hidden="false" customHeight="false" outlineLevel="0" collapsed="false">
      <c r="A495" s="18"/>
      <c r="B495" s="18"/>
      <c r="C495" s="12"/>
      <c r="D495" s="12"/>
      <c r="E495" s="18"/>
      <c r="F495" s="12"/>
      <c r="G495" s="12"/>
      <c r="H495" s="18"/>
      <c r="I495" s="18"/>
      <c r="J495" s="18"/>
    </row>
    <row r="496" customFormat="false" ht="15" hidden="false" customHeight="false" outlineLevel="0" collapsed="false">
      <c r="A496" s="18"/>
      <c r="B496" s="18"/>
      <c r="C496" s="12"/>
      <c r="D496" s="12"/>
      <c r="E496" s="18"/>
      <c r="F496" s="12"/>
      <c r="G496" s="12"/>
      <c r="H496" s="18"/>
      <c r="I496" s="18"/>
      <c r="J496" s="18"/>
    </row>
    <row r="497" customFormat="false" ht="15" hidden="false" customHeight="false" outlineLevel="0" collapsed="false">
      <c r="A497" s="18"/>
      <c r="B497" s="18"/>
      <c r="C497" s="12"/>
      <c r="D497" s="12"/>
      <c r="E497" s="18"/>
      <c r="F497" s="12"/>
      <c r="G497" s="12"/>
      <c r="H497" s="18"/>
      <c r="I497" s="18"/>
      <c r="J497" s="18"/>
    </row>
    <row r="498" customFormat="false" ht="15" hidden="false" customHeight="false" outlineLevel="0" collapsed="false">
      <c r="A498" s="18"/>
      <c r="B498" s="18"/>
      <c r="C498" s="12"/>
      <c r="D498" s="12"/>
      <c r="E498" s="18"/>
      <c r="F498" s="12"/>
      <c r="G498" s="12"/>
      <c r="H498" s="18"/>
      <c r="I498" s="18"/>
      <c r="J498" s="18"/>
    </row>
    <row r="499" customFormat="false" ht="15" hidden="false" customHeight="false" outlineLevel="0" collapsed="false">
      <c r="A499" s="18"/>
      <c r="B499" s="18"/>
      <c r="C499" s="12"/>
      <c r="D499" s="12"/>
      <c r="E499" s="18"/>
      <c r="F499" s="12"/>
      <c r="G499" s="12"/>
      <c r="H499" s="18"/>
      <c r="I499" s="18"/>
      <c r="J499" s="18"/>
    </row>
    <row r="500" customFormat="false" ht="15" hidden="false" customHeight="false" outlineLevel="0" collapsed="false">
      <c r="A500" s="18"/>
      <c r="B500" s="18"/>
      <c r="C500" s="12"/>
      <c r="D500" s="12"/>
      <c r="E500" s="18"/>
      <c r="F500" s="12"/>
      <c r="G500" s="12"/>
      <c r="H500" s="18"/>
      <c r="I500" s="18"/>
      <c r="J500" s="18"/>
    </row>
    <row r="501" customFormat="false" ht="15" hidden="false" customHeight="false" outlineLevel="0" collapsed="false">
      <c r="A501" s="18"/>
      <c r="B501" s="18"/>
      <c r="C501" s="12"/>
      <c r="D501" s="12"/>
      <c r="E501" s="18"/>
      <c r="F501" s="12"/>
      <c r="G501" s="12"/>
      <c r="H501" s="18"/>
      <c r="I501" s="18"/>
      <c r="J501" s="18"/>
    </row>
    <row r="502" customFormat="false" ht="15" hidden="false" customHeight="false" outlineLevel="0" collapsed="false">
      <c r="A502" s="18"/>
      <c r="B502" s="18"/>
      <c r="C502" s="12"/>
      <c r="D502" s="12"/>
      <c r="E502" s="18"/>
      <c r="F502" s="12"/>
      <c r="G502" s="12"/>
      <c r="H502" s="18"/>
      <c r="I502" s="18"/>
      <c r="J502" s="18"/>
    </row>
    <row r="503" customFormat="false" ht="15" hidden="false" customHeight="false" outlineLevel="0" collapsed="false">
      <c r="A503" s="18"/>
      <c r="B503" s="18"/>
      <c r="C503" s="12"/>
      <c r="D503" s="12"/>
      <c r="E503" s="18"/>
      <c r="F503" s="12"/>
      <c r="G503" s="12"/>
      <c r="H503" s="18"/>
      <c r="I503" s="18"/>
      <c r="J503" s="18"/>
    </row>
    <row r="504" customFormat="false" ht="15" hidden="false" customHeight="false" outlineLevel="0" collapsed="false">
      <c r="A504" s="18"/>
      <c r="B504" s="18"/>
      <c r="C504" s="12"/>
      <c r="D504" s="12"/>
      <c r="E504" s="18"/>
      <c r="F504" s="12"/>
      <c r="G504" s="12"/>
      <c r="H504" s="18"/>
      <c r="I504" s="18"/>
      <c r="J504" s="18"/>
    </row>
    <row r="505" customFormat="false" ht="15" hidden="false" customHeight="false" outlineLevel="0" collapsed="false">
      <c r="A505" s="18"/>
      <c r="B505" s="18"/>
      <c r="C505" s="12"/>
      <c r="D505" s="12"/>
      <c r="E505" s="18"/>
      <c r="F505" s="12"/>
      <c r="G505" s="12"/>
      <c r="H505" s="18"/>
      <c r="I505" s="18"/>
      <c r="J505" s="18"/>
    </row>
    <row r="506" customFormat="false" ht="15" hidden="false" customHeight="false" outlineLevel="0" collapsed="false">
      <c r="A506" s="18"/>
      <c r="B506" s="18"/>
      <c r="C506" s="12"/>
      <c r="D506" s="12"/>
      <c r="E506" s="18"/>
      <c r="F506" s="12"/>
      <c r="G506" s="12"/>
      <c r="H506" s="18"/>
      <c r="I506" s="18"/>
      <c r="J506" s="18"/>
    </row>
    <row r="507" customFormat="false" ht="15" hidden="false" customHeight="false" outlineLevel="0" collapsed="false">
      <c r="A507" s="18"/>
      <c r="B507" s="18"/>
      <c r="C507" s="12"/>
      <c r="D507" s="12"/>
      <c r="E507" s="18"/>
      <c r="F507" s="12"/>
      <c r="G507" s="12"/>
      <c r="H507" s="18"/>
      <c r="I507" s="18"/>
      <c r="J507" s="18"/>
    </row>
    <row r="508" customFormat="false" ht="15" hidden="false" customHeight="false" outlineLevel="0" collapsed="false">
      <c r="A508" s="18"/>
      <c r="B508" s="18"/>
      <c r="C508" s="12"/>
      <c r="D508" s="12"/>
      <c r="E508" s="18"/>
      <c r="F508" s="12"/>
      <c r="G508" s="12"/>
      <c r="H508" s="18"/>
      <c r="I508" s="18"/>
      <c r="J508" s="18"/>
    </row>
    <row r="509" customFormat="false" ht="15" hidden="false" customHeight="false" outlineLevel="0" collapsed="false">
      <c r="A509" s="18"/>
      <c r="B509" s="18"/>
      <c r="C509" s="12"/>
      <c r="D509" s="12"/>
      <c r="E509" s="18"/>
      <c r="F509" s="12"/>
      <c r="G509" s="12"/>
      <c r="H509" s="18"/>
      <c r="I509" s="18"/>
      <c r="J509" s="18"/>
    </row>
    <row r="510" customFormat="false" ht="15" hidden="false" customHeight="false" outlineLevel="0" collapsed="false">
      <c r="A510" s="18"/>
      <c r="B510" s="18"/>
      <c r="C510" s="12"/>
      <c r="D510" s="12"/>
      <c r="E510" s="18"/>
      <c r="F510" s="12"/>
      <c r="G510" s="12"/>
      <c r="H510" s="18"/>
      <c r="I510" s="18"/>
      <c r="J510" s="18"/>
    </row>
    <row r="511" customFormat="false" ht="15" hidden="false" customHeight="false" outlineLevel="0" collapsed="false">
      <c r="A511" s="18"/>
      <c r="B511" s="18"/>
      <c r="C511" s="12"/>
      <c r="D511" s="12"/>
      <c r="E511" s="18"/>
      <c r="F511" s="12"/>
      <c r="G511" s="12"/>
      <c r="H511" s="18"/>
      <c r="I511" s="18"/>
      <c r="J511" s="18"/>
    </row>
    <row r="512" customFormat="false" ht="15" hidden="false" customHeight="false" outlineLevel="0" collapsed="false">
      <c r="A512" s="18"/>
      <c r="B512" s="18"/>
      <c r="C512" s="12"/>
      <c r="D512" s="12"/>
      <c r="E512" s="18"/>
      <c r="F512" s="12"/>
      <c r="G512" s="12"/>
      <c r="H512" s="18"/>
      <c r="I512" s="18"/>
      <c r="J512" s="18"/>
    </row>
    <row r="513" customFormat="false" ht="15" hidden="false" customHeight="false" outlineLevel="0" collapsed="false">
      <c r="A513" s="18"/>
      <c r="B513" s="18"/>
      <c r="C513" s="12"/>
      <c r="D513" s="12"/>
      <c r="E513" s="18"/>
      <c r="F513" s="12"/>
      <c r="G513" s="12"/>
      <c r="H513" s="18"/>
      <c r="I513" s="18"/>
      <c r="J513" s="18"/>
    </row>
    <row r="514" customFormat="false" ht="15" hidden="false" customHeight="false" outlineLevel="0" collapsed="false">
      <c r="A514" s="18"/>
      <c r="B514" s="18"/>
      <c r="C514" s="12"/>
      <c r="D514" s="12"/>
      <c r="E514" s="18"/>
      <c r="F514" s="12"/>
      <c r="G514" s="12"/>
      <c r="H514" s="18"/>
      <c r="I514" s="18"/>
      <c r="J514" s="18"/>
    </row>
    <row r="515" customFormat="false" ht="15" hidden="false" customHeight="false" outlineLevel="0" collapsed="false">
      <c r="A515" s="18"/>
      <c r="B515" s="18"/>
      <c r="C515" s="12"/>
      <c r="D515" s="12"/>
      <c r="E515" s="18"/>
      <c r="F515" s="12"/>
      <c r="G515" s="12"/>
      <c r="H515" s="18"/>
      <c r="I515" s="18"/>
      <c r="J515" s="18"/>
    </row>
    <row r="516" customFormat="false" ht="15" hidden="false" customHeight="false" outlineLevel="0" collapsed="false">
      <c r="A516" s="18"/>
      <c r="B516" s="18"/>
      <c r="C516" s="12"/>
      <c r="D516" s="12"/>
      <c r="E516" s="18"/>
      <c r="F516" s="12"/>
      <c r="G516" s="12"/>
      <c r="H516" s="18"/>
      <c r="I516" s="18"/>
      <c r="J516" s="18"/>
    </row>
    <row r="517" customFormat="false" ht="15" hidden="false" customHeight="false" outlineLevel="0" collapsed="false">
      <c r="A517" s="18"/>
      <c r="B517" s="18"/>
      <c r="C517" s="12"/>
      <c r="D517" s="12"/>
      <c r="E517" s="18"/>
      <c r="F517" s="12"/>
      <c r="G517" s="12"/>
      <c r="H517" s="18"/>
      <c r="I517" s="18"/>
      <c r="J517" s="18"/>
    </row>
    <row r="518" customFormat="false" ht="15" hidden="false" customHeight="false" outlineLevel="0" collapsed="false">
      <c r="A518" s="18"/>
      <c r="B518" s="18"/>
      <c r="C518" s="12"/>
      <c r="D518" s="12"/>
      <c r="E518" s="18"/>
      <c r="F518" s="12"/>
      <c r="G518" s="12"/>
      <c r="H518" s="18"/>
      <c r="I518" s="18"/>
      <c r="J518" s="18"/>
    </row>
    <row r="519" customFormat="false" ht="15" hidden="false" customHeight="false" outlineLevel="0" collapsed="false">
      <c r="A519" s="18"/>
      <c r="B519" s="18"/>
      <c r="C519" s="12"/>
      <c r="D519" s="12"/>
      <c r="E519" s="18"/>
      <c r="F519" s="12"/>
      <c r="G519" s="12"/>
      <c r="H519" s="18"/>
      <c r="I519" s="18"/>
      <c r="J519" s="18"/>
    </row>
    <row r="520" customFormat="false" ht="15" hidden="false" customHeight="false" outlineLevel="0" collapsed="false">
      <c r="A520" s="18"/>
      <c r="B520" s="18"/>
      <c r="C520" s="12"/>
      <c r="D520" s="12"/>
      <c r="E520" s="18"/>
      <c r="F520" s="12"/>
      <c r="G520" s="12"/>
      <c r="H520" s="18"/>
      <c r="I520" s="18"/>
      <c r="J520" s="18"/>
    </row>
    <row r="521" customFormat="false" ht="15" hidden="false" customHeight="false" outlineLevel="0" collapsed="false">
      <c r="A521" s="18"/>
      <c r="B521" s="18"/>
      <c r="C521" s="12"/>
      <c r="D521" s="12"/>
      <c r="E521" s="18"/>
      <c r="F521" s="12"/>
      <c r="G521" s="12"/>
      <c r="H521" s="18"/>
      <c r="I521" s="18"/>
      <c r="J521" s="18"/>
    </row>
    <row r="522" customFormat="false" ht="15" hidden="false" customHeight="false" outlineLevel="0" collapsed="false">
      <c r="A522" s="18"/>
      <c r="B522" s="18"/>
      <c r="C522" s="12"/>
      <c r="D522" s="12"/>
      <c r="E522" s="18"/>
      <c r="F522" s="12"/>
      <c r="G522" s="12"/>
      <c r="H522" s="18"/>
      <c r="I522" s="18"/>
      <c r="J522" s="18"/>
    </row>
    <row r="523" customFormat="false" ht="15" hidden="false" customHeight="false" outlineLevel="0" collapsed="false">
      <c r="A523" s="18"/>
      <c r="B523" s="18"/>
      <c r="C523" s="12"/>
      <c r="D523" s="12"/>
      <c r="E523" s="18"/>
      <c r="F523" s="12"/>
      <c r="G523" s="12"/>
      <c r="H523" s="18"/>
      <c r="I523" s="18"/>
      <c r="J523" s="18"/>
    </row>
    <row r="524" customFormat="false" ht="15" hidden="false" customHeight="false" outlineLevel="0" collapsed="false">
      <c r="A524" s="18"/>
      <c r="B524" s="18"/>
      <c r="C524" s="12"/>
      <c r="D524" s="12"/>
      <c r="E524" s="18"/>
      <c r="F524" s="12"/>
      <c r="G524" s="12"/>
      <c r="H524" s="18"/>
      <c r="I524" s="18"/>
      <c r="J524" s="18"/>
    </row>
    <row r="525" customFormat="false" ht="15" hidden="false" customHeight="false" outlineLevel="0" collapsed="false">
      <c r="A525" s="18"/>
      <c r="B525" s="18"/>
      <c r="C525" s="12"/>
      <c r="D525" s="12"/>
      <c r="E525" s="18"/>
      <c r="F525" s="12"/>
      <c r="G525" s="12"/>
      <c r="H525" s="18"/>
      <c r="I525" s="18"/>
      <c r="J525" s="18"/>
    </row>
    <row r="526" customFormat="false" ht="15" hidden="false" customHeight="false" outlineLevel="0" collapsed="false">
      <c r="A526" s="18"/>
      <c r="B526" s="18"/>
      <c r="C526" s="12"/>
      <c r="D526" s="12"/>
      <c r="E526" s="18"/>
      <c r="F526" s="12"/>
      <c r="G526" s="12"/>
      <c r="H526" s="18"/>
      <c r="I526" s="18"/>
      <c r="J526" s="18"/>
    </row>
    <row r="527" customFormat="false" ht="15" hidden="false" customHeight="false" outlineLevel="0" collapsed="false">
      <c r="A527" s="18"/>
      <c r="B527" s="18"/>
      <c r="C527" s="12"/>
      <c r="D527" s="12"/>
      <c r="E527" s="18"/>
      <c r="F527" s="12"/>
      <c r="G527" s="12"/>
      <c r="H527" s="18"/>
      <c r="I527" s="18"/>
      <c r="J527" s="18"/>
    </row>
    <row r="528" customFormat="false" ht="15" hidden="false" customHeight="false" outlineLevel="0" collapsed="false">
      <c r="A528" s="18"/>
      <c r="B528" s="18"/>
      <c r="C528" s="12"/>
      <c r="D528" s="12"/>
      <c r="E528" s="18"/>
      <c r="F528" s="12"/>
      <c r="G528" s="12"/>
      <c r="H528" s="18"/>
      <c r="I528" s="18"/>
      <c r="J528" s="18"/>
    </row>
    <row r="529" customFormat="false" ht="15" hidden="false" customHeight="false" outlineLevel="0" collapsed="false">
      <c r="A529" s="18"/>
      <c r="B529" s="18"/>
      <c r="C529" s="12"/>
      <c r="D529" s="12"/>
      <c r="E529" s="18"/>
      <c r="F529" s="12"/>
      <c r="G529" s="12"/>
      <c r="H529" s="18"/>
      <c r="I529" s="18"/>
      <c r="J529" s="18"/>
    </row>
    <row r="530" customFormat="false" ht="15" hidden="false" customHeight="false" outlineLevel="0" collapsed="false">
      <c r="A530" s="18"/>
      <c r="B530" s="18"/>
      <c r="C530" s="12"/>
      <c r="D530" s="12"/>
      <c r="E530" s="18"/>
      <c r="F530" s="12"/>
      <c r="G530" s="12"/>
      <c r="H530" s="18"/>
      <c r="I530" s="18"/>
      <c r="J530" s="18"/>
    </row>
    <row r="531" customFormat="false" ht="15" hidden="false" customHeight="false" outlineLevel="0" collapsed="false">
      <c r="A531" s="18"/>
      <c r="B531" s="18"/>
      <c r="C531" s="12"/>
      <c r="D531" s="12"/>
      <c r="E531" s="18"/>
      <c r="F531" s="12"/>
      <c r="G531" s="12"/>
      <c r="H531" s="18"/>
      <c r="I531" s="18"/>
      <c r="J531" s="18"/>
    </row>
    <row r="532" customFormat="false" ht="15" hidden="false" customHeight="false" outlineLevel="0" collapsed="false">
      <c r="A532" s="18"/>
      <c r="B532" s="18"/>
      <c r="C532" s="12"/>
      <c r="D532" s="12"/>
      <c r="E532" s="18"/>
      <c r="F532" s="12"/>
      <c r="G532" s="12"/>
      <c r="H532" s="18"/>
      <c r="I532" s="18"/>
      <c r="J532" s="18"/>
    </row>
    <row r="533" customFormat="false" ht="15" hidden="false" customHeight="false" outlineLevel="0" collapsed="false">
      <c r="A533" s="18"/>
      <c r="B533" s="18"/>
      <c r="C533" s="12"/>
      <c r="D533" s="12"/>
      <c r="E533" s="18"/>
      <c r="F533" s="12"/>
      <c r="G533" s="12"/>
      <c r="H533" s="18"/>
      <c r="I533" s="18"/>
      <c r="J533" s="18"/>
    </row>
    <row r="534" customFormat="false" ht="15" hidden="false" customHeight="false" outlineLevel="0" collapsed="false">
      <c r="A534" s="18"/>
      <c r="B534" s="18"/>
      <c r="C534" s="12"/>
      <c r="D534" s="12"/>
      <c r="E534" s="18"/>
      <c r="F534" s="12"/>
      <c r="G534" s="12"/>
      <c r="H534" s="18"/>
      <c r="I534" s="18"/>
      <c r="J534" s="18"/>
    </row>
    <row r="535" customFormat="false" ht="15" hidden="false" customHeight="false" outlineLevel="0" collapsed="false">
      <c r="A535" s="18"/>
      <c r="B535" s="18"/>
      <c r="C535" s="12"/>
      <c r="D535" s="12"/>
      <c r="E535" s="18"/>
      <c r="F535" s="12"/>
      <c r="G535" s="12"/>
      <c r="H535" s="18"/>
      <c r="I535" s="18"/>
      <c r="J535" s="18"/>
    </row>
    <row r="536" customFormat="false" ht="15" hidden="false" customHeight="false" outlineLevel="0" collapsed="false">
      <c r="A536" s="18"/>
      <c r="B536" s="18"/>
      <c r="C536" s="12"/>
      <c r="D536" s="12"/>
      <c r="E536" s="18"/>
      <c r="F536" s="12"/>
      <c r="G536" s="12"/>
      <c r="H536" s="18"/>
      <c r="I536" s="18"/>
      <c r="J536" s="18"/>
    </row>
    <row r="537" customFormat="false" ht="15" hidden="false" customHeight="false" outlineLevel="0" collapsed="false">
      <c r="A537" s="18"/>
      <c r="B537" s="18"/>
      <c r="C537" s="12"/>
      <c r="D537" s="12"/>
      <c r="E537" s="18"/>
      <c r="F537" s="12"/>
      <c r="G537" s="12"/>
      <c r="H537" s="18"/>
      <c r="I537" s="18"/>
      <c r="J537" s="18"/>
    </row>
    <row r="538" customFormat="false" ht="15" hidden="false" customHeight="false" outlineLevel="0" collapsed="false">
      <c r="A538" s="18"/>
      <c r="B538" s="18"/>
      <c r="C538" s="12"/>
      <c r="D538" s="12"/>
      <c r="E538" s="18"/>
      <c r="F538" s="12"/>
      <c r="G538" s="12"/>
      <c r="H538" s="18"/>
      <c r="I538" s="18"/>
      <c r="J538" s="18"/>
    </row>
    <row r="539" customFormat="false" ht="15" hidden="false" customHeight="false" outlineLevel="0" collapsed="false">
      <c r="A539" s="18"/>
      <c r="B539" s="18"/>
      <c r="C539" s="12"/>
      <c r="D539" s="12"/>
      <c r="E539" s="18"/>
      <c r="F539" s="12"/>
      <c r="G539" s="12"/>
      <c r="H539" s="18"/>
      <c r="I539" s="18"/>
      <c r="J539" s="18"/>
    </row>
    <row r="540" customFormat="false" ht="15" hidden="false" customHeight="false" outlineLevel="0" collapsed="false">
      <c r="A540" s="18"/>
      <c r="B540" s="18"/>
      <c r="C540" s="12"/>
      <c r="D540" s="12"/>
      <c r="E540" s="18"/>
      <c r="F540" s="12"/>
      <c r="G540" s="12"/>
      <c r="H540" s="18"/>
      <c r="I540" s="18"/>
      <c r="J540" s="18"/>
    </row>
    <row r="541" customFormat="false" ht="15" hidden="false" customHeight="false" outlineLevel="0" collapsed="false">
      <c r="A541" s="18"/>
      <c r="B541" s="18"/>
      <c r="C541" s="12"/>
      <c r="D541" s="12"/>
      <c r="E541" s="18"/>
      <c r="F541" s="12"/>
      <c r="G541" s="12"/>
      <c r="H541" s="18"/>
      <c r="I541" s="18"/>
      <c r="J541" s="18"/>
    </row>
    <row r="542" customFormat="false" ht="15" hidden="false" customHeight="false" outlineLevel="0" collapsed="false">
      <c r="A542" s="18"/>
      <c r="B542" s="18"/>
      <c r="C542" s="12"/>
      <c r="D542" s="12"/>
      <c r="E542" s="18"/>
      <c r="F542" s="12"/>
      <c r="G542" s="12"/>
      <c r="H542" s="18"/>
      <c r="I542" s="18"/>
      <c r="J542" s="18"/>
    </row>
    <row r="543" customFormat="false" ht="15" hidden="false" customHeight="false" outlineLevel="0" collapsed="false">
      <c r="A543" s="18"/>
      <c r="B543" s="18"/>
      <c r="C543" s="12"/>
      <c r="D543" s="12"/>
      <c r="E543" s="18"/>
      <c r="F543" s="12"/>
      <c r="G543" s="12"/>
      <c r="H543" s="18"/>
      <c r="I543" s="18"/>
      <c r="J543" s="18"/>
    </row>
    <row r="544" customFormat="false" ht="15" hidden="false" customHeight="false" outlineLevel="0" collapsed="false">
      <c r="A544" s="18"/>
      <c r="B544" s="18"/>
      <c r="C544" s="12"/>
      <c r="D544" s="12"/>
      <c r="E544" s="18"/>
      <c r="F544" s="12"/>
      <c r="G544" s="12"/>
      <c r="H544" s="18"/>
      <c r="I544" s="18"/>
      <c r="J544" s="18"/>
    </row>
    <row r="545" customFormat="false" ht="15" hidden="false" customHeight="false" outlineLevel="0" collapsed="false">
      <c r="A545" s="18"/>
      <c r="B545" s="18"/>
      <c r="C545" s="12"/>
      <c r="D545" s="12"/>
      <c r="E545" s="18"/>
      <c r="F545" s="12"/>
      <c r="G545" s="12"/>
      <c r="H545" s="18"/>
      <c r="I545" s="18"/>
      <c r="J545" s="18"/>
    </row>
    <row r="546" customFormat="false" ht="15" hidden="false" customHeight="false" outlineLevel="0" collapsed="false">
      <c r="A546" s="18"/>
      <c r="B546" s="18"/>
      <c r="C546" s="12"/>
      <c r="D546" s="12"/>
      <c r="E546" s="18"/>
      <c r="F546" s="12"/>
      <c r="G546" s="12"/>
      <c r="H546" s="18"/>
      <c r="I546" s="18"/>
      <c r="J546" s="18"/>
    </row>
    <row r="547" customFormat="false" ht="15" hidden="false" customHeight="false" outlineLevel="0" collapsed="false">
      <c r="A547" s="18"/>
      <c r="B547" s="18"/>
      <c r="C547" s="12"/>
      <c r="D547" s="12"/>
      <c r="E547" s="18"/>
      <c r="F547" s="12"/>
      <c r="G547" s="12"/>
      <c r="H547" s="18"/>
      <c r="I547" s="18"/>
      <c r="J547" s="18"/>
    </row>
    <row r="548" customFormat="false" ht="15" hidden="false" customHeight="false" outlineLevel="0" collapsed="false">
      <c r="A548" s="18"/>
      <c r="B548" s="18"/>
      <c r="C548" s="12"/>
      <c r="D548" s="12"/>
      <c r="E548" s="18"/>
      <c r="F548" s="12"/>
      <c r="G548" s="12"/>
      <c r="H548" s="18"/>
      <c r="I548" s="18"/>
      <c r="J548" s="18"/>
    </row>
    <row r="549" customFormat="false" ht="15" hidden="false" customHeight="false" outlineLevel="0" collapsed="false">
      <c r="A549" s="18"/>
      <c r="B549" s="18"/>
      <c r="C549" s="12"/>
      <c r="D549" s="12"/>
      <c r="E549" s="18"/>
      <c r="F549" s="12"/>
      <c r="G549" s="12"/>
      <c r="H549" s="18"/>
      <c r="I549" s="18"/>
      <c r="J549" s="18"/>
    </row>
    <row r="550" customFormat="false" ht="15" hidden="false" customHeight="false" outlineLevel="0" collapsed="false">
      <c r="A550" s="18"/>
      <c r="B550" s="18"/>
      <c r="C550" s="12"/>
      <c r="D550" s="12"/>
      <c r="E550" s="18"/>
      <c r="F550" s="12"/>
      <c r="G550" s="12"/>
      <c r="H550" s="18"/>
      <c r="I550" s="18"/>
      <c r="J550" s="18"/>
    </row>
    <row r="551" customFormat="false" ht="15" hidden="false" customHeight="false" outlineLevel="0" collapsed="false">
      <c r="A551" s="18"/>
      <c r="B551" s="18"/>
      <c r="C551" s="12"/>
      <c r="D551" s="12"/>
      <c r="E551" s="18"/>
      <c r="F551" s="12"/>
      <c r="G551" s="12"/>
      <c r="H551" s="18"/>
      <c r="I551" s="18"/>
      <c r="J551" s="18"/>
    </row>
    <row r="552" customFormat="false" ht="15" hidden="false" customHeight="false" outlineLevel="0" collapsed="false">
      <c r="A552" s="18"/>
      <c r="B552" s="18"/>
      <c r="C552" s="12"/>
      <c r="D552" s="12"/>
      <c r="E552" s="18"/>
      <c r="F552" s="12"/>
      <c r="G552" s="12"/>
      <c r="H552" s="18"/>
      <c r="I552" s="18"/>
      <c r="J552" s="18"/>
    </row>
    <row r="553" customFormat="false" ht="15" hidden="false" customHeight="false" outlineLevel="0" collapsed="false">
      <c r="A553" s="18"/>
      <c r="B553" s="18"/>
      <c r="C553" s="12"/>
      <c r="D553" s="12"/>
      <c r="E553" s="18"/>
      <c r="F553" s="12"/>
      <c r="G553" s="12"/>
      <c r="H553" s="18"/>
      <c r="I553" s="18"/>
      <c r="J553" s="18"/>
    </row>
    <row r="554" customFormat="false" ht="15" hidden="false" customHeight="false" outlineLevel="0" collapsed="false">
      <c r="A554" s="18"/>
      <c r="B554" s="18"/>
      <c r="C554" s="12"/>
      <c r="D554" s="12"/>
      <c r="E554" s="18"/>
      <c r="F554" s="12"/>
      <c r="G554" s="12"/>
      <c r="H554" s="18"/>
      <c r="I554" s="18"/>
      <c r="J554" s="18"/>
    </row>
    <row r="555" customFormat="false" ht="15" hidden="false" customHeight="false" outlineLevel="0" collapsed="false">
      <c r="A555" s="18"/>
      <c r="B555" s="18"/>
      <c r="C555" s="12"/>
      <c r="D555" s="12"/>
      <c r="E555" s="18"/>
      <c r="F555" s="12"/>
      <c r="G555" s="12"/>
      <c r="H555" s="18"/>
      <c r="I555" s="18"/>
      <c r="J555" s="18"/>
    </row>
    <row r="556" customFormat="false" ht="15" hidden="false" customHeight="false" outlineLevel="0" collapsed="false">
      <c r="A556" s="18"/>
      <c r="B556" s="18"/>
      <c r="C556" s="12"/>
      <c r="D556" s="12"/>
      <c r="E556" s="18"/>
      <c r="F556" s="12"/>
      <c r="G556" s="12"/>
      <c r="H556" s="18"/>
      <c r="I556" s="18"/>
      <c r="J556" s="18"/>
    </row>
    <row r="557" customFormat="false" ht="15" hidden="false" customHeight="false" outlineLevel="0" collapsed="false">
      <c r="A557" s="18"/>
      <c r="B557" s="18"/>
      <c r="C557" s="12"/>
      <c r="D557" s="12"/>
      <c r="E557" s="18"/>
      <c r="F557" s="12"/>
      <c r="G557" s="12"/>
      <c r="H557" s="18"/>
      <c r="I557" s="18"/>
      <c r="J557" s="18"/>
    </row>
    <row r="558" customFormat="false" ht="15" hidden="false" customHeight="false" outlineLevel="0" collapsed="false">
      <c r="A558" s="18"/>
      <c r="B558" s="18"/>
      <c r="C558" s="12"/>
      <c r="D558" s="12"/>
      <c r="E558" s="18"/>
      <c r="F558" s="12"/>
      <c r="G558" s="12"/>
      <c r="H558" s="18"/>
      <c r="I558" s="18"/>
      <c r="J558" s="18"/>
    </row>
    <row r="559" customFormat="false" ht="15" hidden="false" customHeight="false" outlineLevel="0" collapsed="false">
      <c r="A559" s="18"/>
      <c r="B559" s="18"/>
      <c r="C559" s="12"/>
      <c r="D559" s="12"/>
      <c r="E559" s="18"/>
      <c r="F559" s="12"/>
      <c r="G559" s="12"/>
      <c r="H559" s="18"/>
      <c r="I559" s="18"/>
      <c r="J559" s="18"/>
    </row>
    <row r="560" customFormat="false" ht="15" hidden="false" customHeight="false" outlineLevel="0" collapsed="false">
      <c r="A560" s="18"/>
      <c r="B560" s="18"/>
      <c r="C560" s="12"/>
      <c r="D560" s="12"/>
      <c r="E560" s="18"/>
      <c r="F560" s="12"/>
      <c r="G560" s="12"/>
      <c r="H560" s="18"/>
      <c r="I560" s="18"/>
      <c r="J560" s="18"/>
    </row>
    <row r="561" customFormat="false" ht="15" hidden="false" customHeight="false" outlineLevel="0" collapsed="false">
      <c r="A561" s="18"/>
      <c r="B561" s="18"/>
      <c r="C561" s="12"/>
      <c r="D561" s="12"/>
      <c r="E561" s="18"/>
      <c r="F561" s="12"/>
      <c r="G561" s="12"/>
      <c r="H561" s="18"/>
      <c r="I561" s="18"/>
      <c r="J561" s="18"/>
    </row>
    <row r="562" customFormat="false" ht="15" hidden="false" customHeight="false" outlineLevel="0" collapsed="false">
      <c r="A562" s="18"/>
      <c r="B562" s="18"/>
      <c r="C562" s="12"/>
      <c r="D562" s="12"/>
      <c r="E562" s="18"/>
      <c r="F562" s="12"/>
      <c r="G562" s="12"/>
      <c r="H562" s="18"/>
      <c r="I562" s="18"/>
      <c r="J562" s="18"/>
    </row>
    <row r="563" customFormat="false" ht="15" hidden="false" customHeight="false" outlineLevel="0" collapsed="false">
      <c r="A563" s="18"/>
      <c r="B563" s="18"/>
      <c r="C563" s="12"/>
      <c r="D563" s="12"/>
      <c r="E563" s="18"/>
      <c r="F563" s="12"/>
      <c r="G563" s="12"/>
      <c r="H563" s="18"/>
      <c r="I563" s="18"/>
      <c r="J563" s="18"/>
    </row>
    <row r="564" customFormat="false" ht="15" hidden="false" customHeight="false" outlineLevel="0" collapsed="false">
      <c r="A564" s="18"/>
      <c r="B564" s="18"/>
      <c r="C564" s="12"/>
      <c r="D564" s="12"/>
      <c r="E564" s="18"/>
      <c r="F564" s="12"/>
      <c r="G564" s="12"/>
      <c r="H564" s="18"/>
      <c r="I564" s="18"/>
      <c r="J564" s="18"/>
    </row>
    <row r="565" customFormat="false" ht="15" hidden="false" customHeight="false" outlineLevel="0" collapsed="false">
      <c r="A565" s="18"/>
      <c r="B565" s="18"/>
      <c r="C565" s="12"/>
      <c r="D565" s="12"/>
      <c r="E565" s="18"/>
      <c r="F565" s="12"/>
      <c r="G565" s="12"/>
      <c r="H565" s="18"/>
      <c r="I565" s="18"/>
      <c r="J565" s="18"/>
    </row>
    <row r="566" customFormat="false" ht="15" hidden="false" customHeight="false" outlineLevel="0" collapsed="false">
      <c r="A566" s="18"/>
      <c r="B566" s="18"/>
      <c r="C566" s="12"/>
      <c r="D566" s="12"/>
      <c r="E566" s="18"/>
      <c r="F566" s="12"/>
      <c r="G566" s="12"/>
      <c r="H566" s="18"/>
      <c r="I566" s="18"/>
      <c r="J566" s="18"/>
    </row>
    <row r="567" customFormat="false" ht="15" hidden="false" customHeight="false" outlineLevel="0" collapsed="false">
      <c r="A567" s="18"/>
      <c r="B567" s="18"/>
      <c r="C567" s="12"/>
      <c r="D567" s="12"/>
      <c r="E567" s="18"/>
      <c r="F567" s="12"/>
      <c r="G567" s="12"/>
      <c r="H567" s="18"/>
      <c r="I567" s="18"/>
      <c r="J567" s="18"/>
    </row>
    <row r="568" customFormat="false" ht="15" hidden="false" customHeight="false" outlineLevel="0" collapsed="false">
      <c r="A568" s="18"/>
      <c r="B568" s="18"/>
      <c r="C568" s="12"/>
      <c r="D568" s="12"/>
      <c r="E568" s="18"/>
      <c r="F568" s="12"/>
      <c r="G568" s="12"/>
      <c r="H568" s="18"/>
      <c r="I568" s="18"/>
      <c r="J568" s="18"/>
    </row>
    <row r="569" customFormat="false" ht="15" hidden="false" customHeight="false" outlineLevel="0" collapsed="false">
      <c r="A569" s="18"/>
      <c r="B569" s="18"/>
      <c r="C569" s="12"/>
      <c r="D569" s="12"/>
      <c r="E569" s="18"/>
      <c r="F569" s="12"/>
      <c r="G569" s="12"/>
      <c r="H569" s="18"/>
      <c r="I569" s="18"/>
      <c r="J569" s="18"/>
    </row>
    <row r="570" customFormat="false" ht="15" hidden="false" customHeight="false" outlineLevel="0" collapsed="false">
      <c r="A570" s="18"/>
      <c r="B570" s="18"/>
      <c r="C570" s="12"/>
      <c r="D570" s="12"/>
      <c r="E570" s="18"/>
      <c r="F570" s="12"/>
      <c r="G570" s="12"/>
      <c r="H570" s="18"/>
      <c r="I570" s="18"/>
      <c r="J570" s="18"/>
    </row>
    <row r="571" customFormat="false" ht="15" hidden="false" customHeight="false" outlineLevel="0" collapsed="false">
      <c r="A571" s="18"/>
      <c r="B571" s="18"/>
      <c r="C571" s="12"/>
      <c r="D571" s="12"/>
      <c r="E571" s="18"/>
      <c r="F571" s="12"/>
      <c r="G571" s="12"/>
      <c r="H571" s="18"/>
      <c r="I571" s="18"/>
      <c r="J571" s="18"/>
    </row>
    <row r="572" customFormat="false" ht="15" hidden="false" customHeight="false" outlineLevel="0" collapsed="false">
      <c r="A572" s="18"/>
      <c r="B572" s="18"/>
      <c r="C572" s="12"/>
      <c r="D572" s="12"/>
      <c r="E572" s="18"/>
      <c r="F572" s="12"/>
      <c r="G572" s="12"/>
      <c r="H572" s="18"/>
      <c r="I572" s="18"/>
      <c r="J572" s="18"/>
    </row>
    <row r="573" customFormat="false" ht="15" hidden="false" customHeight="false" outlineLevel="0" collapsed="false">
      <c r="A573" s="18"/>
      <c r="B573" s="18"/>
      <c r="C573" s="12"/>
      <c r="D573" s="12"/>
      <c r="E573" s="18"/>
      <c r="F573" s="12"/>
      <c r="G573" s="12"/>
      <c r="H573" s="18"/>
      <c r="I573" s="18"/>
      <c r="J573" s="18"/>
    </row>
    <row r="574" customFormat="false" ht="15" hidden="false" customHeight="false" outlineLevel="0" collapsed="false">
      <c r="A574" s="18"/>
      <c r="B574" s="18"/>
      <c r="C574" s="12"/>
      <c r="D574" s="12"/>
      <c r="E574" s="18"/>
      <c r="F574" s="12"/>
      <c r="G574" s="12"/>
      <c r="H574" s="18"/>
      <c r="I574" s="18"/>
      <c r="J574" s="18"/>
    </row>
    <row r="575" customFormat="false" ht="15" hidden="false" customHeight="false" outlineLevel="0" collapsed="false">
      <c r="A575" s="18"/>
      <c r="B575" s="18"/>
      <c r="C575" s="12"/>
      <c r="D575" s="12"/>
      <c r="E575" s="18"/>
      <c r="F575" s="12"/>
      <c r="G575" s="12"/>
      <c r="H575" s="18"/>
      <c r="I575" s="18"/>
      <c r="J575" s="18"/>
    </row>
    <row r="576" customFormat="false" ht="15" hidden="false" customHeight="false" outlineLevel="0" collapsed="false">
      <c r="A576" s="18"/>
      <c r="B576" s="18"/>
      <c r="C576" s="12"/>
      <c r="D576" s="12"/>
      <c r="E576" s="18"/>
      <c r="F576" s="12"/>
      <c r="G576" s="12"/>
      <c r="H576" s="18"/>
      <c r="I576" s="18"/>
      <c r="J576" s="18"/>
    </row>
    <row r="577" customFormat="false" ht="15" hidden="false" customHeight="false" outlineLevel="0" collapsed="false">
      <c r="A577" s="18"/>
      <c r="B577" s="18"/>
      <c r="C577" s="12"/>
      <c r="D577" s="12"/>
      <c r="E577" s="18"/>
      <c r="F577" s="12"/>
      <c r="G577" s="12"/>
      <c r="H577" s="18"/>
      <c r="I577" s="18"/>
      <c r="J577" s="18"/>
    </row>
    <row r="578" customFormat="false" ht="15" hidden="false" customHeight="false" outlineLevel="0" collapsed="false">
      <c r="A578" s="18"/>
      <c r="B578" s="18"/>
      <c r="C578" s="12"/>
      <c r="D578" s="12"/>
      <c r="E578" s="18"/>
      <c r="F578" s="12"/>
      <c r="G578" s="12"/>
      <c r="H578" s="18"/>
      <c r="I578" s="18"/>
      <c r="J578" s="18"/>
    </row>
    <row r="579" customFormat="false" ht="15" hidden="false" customHeight="false" outlineLevel="0" collapsed="false">
      <c r="A579" s="18"/>
      <c r="B579" s="18"/>
      <c r="C579" s="12"/>
      <c r="D579" s="12"/>
      <c r="E579" s="18"/>
      <c r="F579" s="12"/>
      <c r="G579" s="12"/>
      <c r="H579" s="18"/>
      <c r="I579" s="18"/>
      <c r="J579" s="18"/>
    </row>
    <row r="580" customFormat="false" ht="15" hidden="false" customHeight="false" outlineLevel="0" collapsed="false">
      <c r="A580" s="18"/>
      <c r="B580" s="18"/>
      <c r="C580" s="12"/>
      <c r="D580" s="12"/>
      <c r="E580" s="18"/>
      <c r="F580" s="12"/>
      <c r="G580" s="12"/>
      <c r="H580" s="18"/>
      <c r="I580" s="18"/>
      <c r="J580" s="18"/>
    </row>
    <row r="581" customFormat="false" ht="15" hidden="false" customHeight="false" outlineLevel="0" collapsed="false">
      <c r="A581" s="18"/>
      <c r="B581" s="18"/>
      <c r="C581" s="12"/>
      <c r="D581" s="12"/>
      <c r="E581" s="18"/>
      <c r="F581" s="12"/>
      <c r="G581" s="12"/>
      <c r="H581" s="18"/>
      <c r="I581" s="18"/>
      <c r="J581" s="18"/>
    </row>
    <row r="582" customFormat="false" ht="15" hidden="false" customHeight="false" outlineLevel="0" collapsed="false">
      <c r="A582" s="18"/>
      <c r="B582" s="18"/>
      <c r="C582" s="12"/>
      <c r="D582" s="12"/>
      <c r="E582" s="18"/>
      <c r="F582" s="12"/>
      <c r="G582" s="12"/>
      <c r="H582" s="18"/>
      <c r="I582" s="18"/>
      <c r="J582" s="18"/>
    </row>
    <row r="583" customFormat="false" ht="15" hidden="false" customHeight="false" outlineLevel="0" collapsed="false">
      <c r="A583" s="18"/>
      <c r="B583" s="18"/>
      <c r="C583" s="12"/>
      <c r="D583" s="12"/>
      <c r="E583" s="18"/>
      <c r="F583" s="12"/>
      <c r="G583" s="12"/>
      <c r="H583" s="18"/>
      <c r="I583" s="18"/>
      <c r="J583" s="18"/>
    </row>
    <row r="584" customFormat="false" ht="15" hidden="false" customHeight="false" outlineLevel="0" collapsed="false">
      <c r="A584" s="18"/>
      <c r="B584" s="18"/>
      <c r="C584" s="12"/>
      <c r="D584" s="12"/>
      <c r="E584" s="18"/>
      <c r="F584" s="12"/>
      <c r="G584" s="12"/>
      <c r="H584" s="18"/>
      <c r="I584" s="18"/>
      <c r="J584" s="18"/>
    </row>
    <row r="585" customFormat="false" ht="15" hidden="false" customHeight="false" outlineLevel="0" collapsed="false">
      <c r="A585" s="18"/>
      <c r="B585" s="18"/>
      <c r="C585" s="12"/>
      <c r="D585" s="12"/>
      <c r="E585" s="18"/>
      <c r="F585" s="12"/>
      <c r="G585" s="12"/>
      <c r="H585" s="18"/>
      <c r="I585" s="18"/>
      <c r="J585" s="18"/>
    </row>
    <row r="586" customFormat="false" ht="15" hidden="false" customHeight="false" outlineLevel="0" collapsed="false">
      <c r="A586" s="18"/>
      <c r="B586" s="18"/>
      <c r="C586" s="12"/>
      <c r="D586" s="12"/>
      <c r="E586" s="18"/>
      <c r="F586" s="12"/>
      <c r="G586" s="12"/>
      <c r="H586" s="18"/>
      <c r="I586" s="18"/>
      <c r="J586" s="18"/>
    </row>
    <row r="587" customFormat="false" ht="15" hidden="false" customHeight="false" outlineLevel="0" collapsed="false">
      <c r="A587" s="18"/>
      <c r="B587" s="18"/>
      <c r="C587" s="12"/>
      <c r="D587" s="12"/>
      <c r="E587" s="18"/>
      <c r="F587" s="12"/>
      <c r="G587" s="12"/>
      <c r="H587" s="18"/>
      <c r="I587" s="18"/>
      <c r="J587" s="18"/>
    </row>
    <row r="588" customFormat="false" ht="15" hidden="false" customHeight="false" outlineLevel="0" collapsed="false">
      <c r="A588" s="18"/>
      <c r="B588" s="18"/>
      <c r="C588" s="12"/>
      <c r="D588" s="12"/>
      <c r="E588" s="18"/>
      <c r="F588" s="12"/>
      <c r="G588" s="12"/>
      <c r="H588" s="18"/>
      <c r="I588" s="18"/>
      <c r="J588" s="18"/>
    </row>
    <row r="589" customFormat="false" ht="15" hidden="false" customHeight="false" outlineLevel="0" collapsed="false">
      <c r="A589" s="18"/>
      <c r="B589" s="18"/>
      <c r="C589" s="12"/>
      <c r="D589" s="12"/>
      <c r="E589" s="18"/>
      <c r="F589" s="12"/>
      <c r="G589" s="12"/>
      <c r="H589" s="18"/>
      <c r="I589" s="18"/>
      <c r="J589" s="18"/>
    </row>
    <row r="590" customFormat="false" ht="15" hidden="false" customHeight="false" outlineLevel="0" collapsed="false">
      <c r="A590" s="18"/>
      <c r="B590" s="18"/>
      <c r="C590" s="12"/>
      <c r="D590" s="12"/>
      <c r="E590" s="18"/>
      <c r="F590" s="12"/>
      <c r="G590" s="12"/>
      <c r="H590" s="18"/>
      <c r="I590" s="18"/>
      <c r="J590" s="18"/>
    </row>
    <row r="591" customFormat="false" ht="15" hidden="false" customHeight="false" outlineLevel="0" collapsed="false">
      <c r="A591" s="18"/>
      <c r="B591" s="18"/>
      <c r="C591" s="12"/>
      <c r="D591" s="12"/>
      <c r="E591" s="18"/>
      <c r="F591" s="12"/>
      <c r="G591" s="12"/>
      <c r="H591" s="18"/>
      <c r="I591" s="18"/>
      <c r="J591" s="18"/>
    </row>
    <row r="592" customFormat="false" ht="15" hidden="false" customHeight="false" outlineLevel="0" collapsed="false">
      <c r="A592" s="18"/>
      <c r="B592" s="18"/>
      <c r="C592" s="12"/>
      <c r="D592" s="12"/>
      <c r="E592" s="18"/>
      <c r="F592" s="12"/>
      <c r="G592" s="12"/>
      <c r="H592" s="18"/>
      <c r="I592" s="18"/>
      <c r="J592" s="18"/>
    </row>
    <row r="593" customFormat="false" ht="15" hidden="false" customHeight="false" outlineLevel="0" collapsed="false">
      <c r="A593" s="18"/>
      <c r="B593" s="18"/>
      <c r="C593" s="12"/>
      <c r="D593" s="12"/>
      <c r="E593" s="18"/>
      <c r="F593" s="12"/>
      <c r="G593" s="12"/>
      <c r="H593" s="18"/>
      <c r="I593" s="18"/>
      <c r="J593" s="18"/>
    </row>
    <row r="594" customFormat="false" ht="15" hidden="false" customHeight="false" outlineLevel="0" collapsed="false">
      <c r="A594" s="18"/>
      <c r="B594" s="18"/>
      <c r="C594" s="12"/>
      <c r="D594" s="12"/>
      <c r="E594" s="18"/>
      <c r="F594" s="12"/>
      <c r="G594" s="12"/>
      <c r="H594" s="18"/>
      <c r="I594" s="18"/>
      <c r="J594" s="18"/>
    </row>
    <row r="595" customFormat="false" ht="15" hidden="false" customHeight="false" outlineLevel="0" collapsed="false">
      <c r="A595" s="18"/>
      <c r="B595" s="18"/>
      <c r="C595" s="12"/>
      <c r="D595" s="12"/>
      <c r="E595" s="18"/>
      <c r="F595" s="12"/>
      <c r="G595" s="12"/>
      <c r="H595" s="18"/>
      <c r="I595" s="18"/>
      <c r="J595" s="18"/>
    </row>
    <row r="596" customFormat="false" ht="15" hidden="false" customHeight="false" outlineLevel="0" collapsed="false">
      <c r="A596" s="18"/>
      <c r="B596" s="18"/>
      <c r="C596" s="12"/>
      <c r="D596" s="12"/>
      <c r="E596" s="18"/>
      <c r="F596" s="12"/>
      <c r="G596" s="12"/>
      <c r="H596" s="18"/>
      <c r="I596" s="18"/>
      <c r="J596" s="18"/>
    </row>
    <row r="597" customFormat="false" ht="15" hidden="false" customHeight="false" outlineLevel="0" collapsed="false">
      <c r="A597" s="18"/>
      <c r="B597" s="18"/>
      <c r="C597" s="12"/>
      <c r="D597" s="12"/>
      <c r="E597" s="18"/>
      <c r="F597" s="12"/>
      <c r="G597" s="12"/>
      <c r="H597" s="18"/>
      <c r="I597" s="18"/>
      <c r="J597" s="18"/>
    </row>
    <row r="598" customFormat="false" ht="15" hidden="false" customHeight="false" outlineLevel="0" collapsed="false">
      <c r="A598" s="18"/>
      <c r="B598" s="18"/>
      <c r="C598" s="12"/>
      <c r="D598" s="12"/>
      <c r="E598" s="18"/>
      <c r="F598" s="12"/>
      <c r="G598" s="12"/>
      <c r="H598" s="18"/>
      <c r="I598" s="18"/>
      <c r="J598" s="18"/>
    </row>
    <row r="599" customFormat="false" ht="15" hidden="false" customHeight="false" outlineLevel="0" collapsed="false">
      <c r="A599" s="18"/>
      <c r="B599" s="18"/>
      <c r="C599" s="12"/>
      <c r="D599" s="12"/>
      <c r="E599" s="18"/>
      <c r="F599" s="12"/>
      <c r="G599" s="12"/>
      <c r="H599" s="18"/>
      <c r="I599" s="18"/>
      <c r="J599" s="18"/>
    </row>
    <row r="600" customFormat="false" ht="15" hidden="false" customHeight="false" outlineLevel="0" collapsed="false">
      <c r="A600" s="18"/>
      <c r="B600" s="18"/>
      <c r="C600" s="12"/>
      <c r="D600" s="12"/>
      <c r="E600" s="18"/>
      <c r="F600" s="12"/>
      <c r="G600" s="12"/>
      <c r="H600" s="18"/>
      <c r="I600" s="18"/>
      <c r="J600" s="18"/>
    </row>
    <row r="601" customFormat="false" ht="15" hidden="false" customHeight="false" outlineLevel="0" collapsed="false">
      <c r="A601" s="18"/>
      <c r="B601" s="18"/>
      <c r="C601" s="12"/>
      <c r="D601" s="12"/>
      <c r="E601" s="18"/>
      <c r="F601" s="12"/>
      <c r="G601" s="12"/>
      <c r="H601" s="18"/>
      <c r="I601" s="18"/>
      <c r="J601" s="18"/>
    </row>
    <row r="602" customFormat="false" ht="15" hidden="false" customHeight="false" outlineLevel="0" collapsed="false">
      <c r="A602" s="18"/>
      <c r="B602" s="18"/>
      <c r="C602" s="12"/>
      <c r="D602" s="12"/>
      <c r="E602" s="18"/>
      <c r="F602" s="12"/>
      <c r="G602" s="12"/>
      <c r="H602" s="18"/>
      <c r="I602" s="18"/>
      <c r="J602" s="18"/>
    </row>
    <row r="603" customFormat="false" ht="15" hidden="false" customHeight="false" outlineLevel="0" collapsed="false">
      <c r="A603" s="18"/>
      <c r="B603" s="18"/>
      <c r="C603" s="12"/>
      <c r="D603" s="12"/>
      <c r="E603" s="18"/>
      <c r="F603" s="12"/>
      <c r="G603" s="12"/>
      <c r="H603" s="18"/>
      <c r="I603" s="18"/>
      <c r="J603" s="18"/>
    </row>
    <row r="604" customFormat="false" ht="15" hidden="false" customHeight="false" outlineLevel="0" collapsed="false">
      <c r="A604" s="18"/>
      <c r="B604" s="18"/>
      <c r="C604" s="12"/>
      <c r="D604" s="12"/>
      <c r="E604" s="18"/>
      <c r="F604" s="12"/>
      <c r="G604" s="12"/>
      <c r="H604" s="18"/>
      <c r="I604" s="18"/>
      <c r="J604" s="18"/>
    </row>
    <row r="605" customFormat="false" ht="15" hidden="false" customHeight="false" outlineLevel="0" collapsed="false">
      <c r="A605" s="18"/>
      <c r="B605" s="18"/>
      <c r="C605" s="12"/>
      <c r="D605" s="12"/>
      <c r="E605" s="18"/>
      <c r="F605" s="12"/>
      <c r="G605" s="12"/>
      <c r="H605" s="18"/>
      <c r="I605" s="18"/>
      <c r="J605" s="18"/>
    </row>
    <row r="606" customFormat="false" ht="15" hidden="false" customHeight="false" outlineLevel="0" collapsed="false">
      <c r="A606" s="18"/>
      <c r="B606" s="18"/>
      <c r="C606" s="12"/>
      <c r="D606" s="12"/>
      <c r="E606" s="18"/>
      <c r="F606" s="12"/>
      <c r="G606" s="12"/>
      <c r="H606" s="18"/>
      <c r="I606" s="18"/>
      <c r="J606" s="18"/>
    </row>
    <row r="607" customFormat="false" ht="15" hidden="false" customHeight="false" outlineLevel="0" collapsed="false">
      <c r="A607" s="18"/>
      <c r="B607" s="18"/>
      <c r="C607" s="12"/>
      <c r="D607" s="12"/>
      <c r="E607" s="18"/>
      <c r="F607" s="12"/>
      <c r="G607" s="12"/>
      <c r="H607" s="18"/>
      <c r="I607" s="18"/>
      <c r="J607" s="18"/>
    </row>
    <row r="608" customFormat="false" ht="15" hidden="false" customHeight="false" outlineLevel="0" collapsed="false">
      <c r="A608" s="18"/>
      <c r="B608" s="18"/>
      <c r="C608" s="12"/>
      <c r="D608" s="12"/>
      <c r="E608" s="18"/>
      <c r="F608" s="12"/>
      <c r="G608" s="12"/>
      <c r="H608" s="18"/>
      <c r="I608" s="18"/>
      <c r="J608" s="18"/>
    </row>
    <row r="609" customFormat="false" ht="15" hidden="false" customHeight="false" outlineLevel="0" collapsed="false">
      <c r="A609" s="18"/>
      <c r="B609" s="18"/>
      <c r="C609" s="12"/>
      <c r="D609" s="12"/>
      <c r="E609" s="18"/>
      <c r="F609" s="12"/>
      <c r="G609" s="12"/>
      <c r="H609" s="18"/>
      <c r="I609" s="18"/>
      <c r="J609" s="18"/>
    </row>
    <row r="610" customFormat="false" ht="15" hidden="false" customHeight="false" outlineLevel="0" collapsed="false">
      <c r="A610" s="18"/>
      <c r="B610" s="18"/>
      <c r="C610" s="12"/>
      <c r="D610" s="12"/>
      <c r="E610" s="18"/>
      <c r="F610" s="12"/>
      <c r="G610" s="12"/>
      <c r="H610" s="18"/>
      <c r="I610" s="18"/>
      <c r="J610" s="18"/>
    </row>
    <row r="611" customFormat="false" ht="15" hidden="false" customHeight="false" outlineLevel="0" collapsed="false">
      <c r="A611" s="18"/>
      <c r="B611" s="18"/>
      <c r="C611" s="12"/>
      <c r="D611" s="12"/>
      <c r="E611" s="18"/>
      <c r="F611" s="12"/>
      <c r="G611" s="12"/>
      <c r="H611" s="18"/>
      <c r="I611" s="18"/>
      <c r="J611" s="18"/>
    </row>
    <row r="612" customFormat="false" ht="15" hidden="false" customHeight="false" outlineLevel="0" collapsed="false">
      <c r="A612" s="18"/>
      <c r="B612" s="18"/>
      <c r="C612" s="12"/>
      <c r="D612" s="12"/>
      <c r="E612" s="18"/>
      <c r="F612" s="12"/>
      <c r="G612" s="12"/>
      <c r="H612" s="18"/>
      <c r="I612" s="18"/>
      <c r="J612" s="18"/>
    </row>
    <row r="613" customFormat="false" ht="15" hidden="false" customHeight="false" outlineLevel="0" collapsed="false">
      <c r="A613" s="18"/>
      <c r="B613" s="18"/>
      <c r="C613" s="12"/>
      <c r="D613" s="12"/>
      <c r="E613" s="18"/>
      <c r="F613" s="12"/>
      <c r="G613" s="12"/>
      <c r="H613" s="18"/>
      <c r="I613" s="18"/>
      <c r="J613" s="18"/>
    </row>
    <row r="614" customFormat="false" ht="15" hidden="false" customHeight="false" outlineLevel="0" collapsed="false">
      <c r="A614" s="18"/>
      <c r="B614" s="18"/>
      <c r="C614" s="12"/>
      <c r="D614" s="12"/>
      <c r="E614" s="18"/>
      <c r="F614" s="12"/>
      <c r="G614" s="12"/>
      <c r="H614" s="18"/>
      <c r="I614" s="18"/>
      <c r="J614" s="18"/>
    </row>
    <row r="615" customFormat="false" ht="15" hidden="false" customHeight="false" outlineLevel="0" collapsed="false">
      <c r="A615" s="18"/>
      <c r="B615" s="18"/>
      <c r="C615" s="12"/>
      <c r="D615" s="12"/>
      <c r="E615" s="18"/>
      <c r="F615" s="12"/>
      <c r="G615" s="12"/>
      <c r="H615" s="18"/>
      <c r="I615" s="18"/>
      <c r="J615" s="18"/>
    </row>
    <row r="616" customFormat="false" ht="15" hidden="false" customHeight="false" outlineLevel="0" collapsed="false">
      <c r="A616" s="18"/>
      <c r="B616" s="18"/>
      <c r="C616" s="12"/>
      <c r="D616" s="12"/>
      <c r="E616" s="18"/>
      <c r="F616" s="12"/>
      <c r="G616" s="12"/>
      <c r="H616" s="18"/>
      <c r="I616" s="18"/>
      <c r="J616" s="18"/>
    </row>
    <row r="617" customFormat="false" ht="15" hidden="false" customHeight="false" outlineLevel="0" collapsed="false">
      <c r="A617" s="18"/>
      <c r="B617" s="18"/>
      <c r="C617" s="12"/>
      <c r="D617" s="12"/>
      <c r="E617" s="18"/>
      <c r="F617" s="12"/>
      <c r="G617" s="12"/>
      <c r="H617" s="18"/>
      <c r="I617" s="18"/>
      <c r="J617" s="18"/>
    </row>
    <row r="618" customFormat="false" ht="15" hidden="false" customHeight="false" outlineLevel="0" collapsed="false">
      <c r="A618" s="18"/>
      <c r="B618" s="18"/>
      <c r="C618" s="12"/>
      <c r="D618" s="12"/>
      <c r="E618" s="18"/>
      <c r="F618" s="12"/>
      <c r="G618" s="12"/>
      <c r="H618" s="18"/>
      <c r="I618" s="18"/>
      <c r="J618" s="18"/>
    </row>
    <row r="619" customFormat="false" ht="15" hidden="false" customHeight="false" outlineLevel="0" collapsed="false">
      <c r="A619" s="18"/>
      <c r="B619" s="18"/>
      <c r="C619" s="12"/>
      <c r="D619" s="12"/>
      <c r="E619" s="18"/>
      <c r="F619" s="12"/>
      <c r="G619" s="12"/>
      <c r="H619" s="18"/>
      <c r="I619" s="18"/>
      <c r="J619" s="18"/>
    </row>
    <row r="620" customFormat="false" ht="15" hidden="false" customHeight="false" outlineLevel="0" collapsed="false">
      <c r="A620" s="18"/>
      <c r="B620" s="18"/>
      <c r="C620" s="12"/>
      <c r="D620" s="12"/>
      <c r="E620" s="18"/>
      <c r="F620" s="12"/>
      <c r="G620" s="12"/>
      <c r="H620" s="18"/>
      <c r="I620" s="18"/>
      <c r="J620" s="18"/>
    </row>
    <row r="621" customFormat="false" ht="15" hidden="false" customHeight="false" outlineLevel="0" collapsed="false">
      <c r="A621" s="18"/>
      <c r="B621" s="18"/>
      <c r="C621" s="12"/>
      <c r="D621" s="12"/>
      <c r="E621" s="18"/>
      <c r="F621" s="12"/>
      <c r="G621" s="12"/>
      <c r="H621" s="18"/>
      <c r="I621" s="18"/>
      <c r="J621" s="18"/>
    </row>
    <row r="622" customFormat="false" ht="15" hidden="false" customHeight="false" outlineLevel="0" collapsed="false">
      <c r="A622" s="18"/>
      <c r="B622" s="18"/>
      <c r="C622" s="12"/>
      <c r="D622" s="12"/>
      <c r="E622" s="18"/>
      <c r="F622" s="12"/>
      <c r="G622" s="12"/>
      <c r="H622" s="18"/>
      <c r="I622" s="18"/>
      <c r="J622" s="18"/>
    </row>
    <row r="623" customFormat="false" ht="15" hidden="false" customHeight="false" outlineLevel="0" collapsed="false">
      <c r="A623" s="18"/>
      <c r="B623" s="18"/>
      <c r="C623" s="12"/>
      <c r="D623" s="12"/>
      <c r="E623" s="18"/>
      <c r="F623" s="12"/>
      <c r="G623" s="12"/>
      <c r="H623" s="18"/>
      <c r="I623" s="18"/>
      <c r="J623" s="18"/>
    </row>
    <row r="624" customFormat="false" ht="15" hidden="false" customHeight="false" outlineLevel="0" collapsed="false">
      <c r="A624" s="18"/>
      <c r="B624" s="18"/>
      <c r="C624" s="12"/>
      <c r="D624" s="12"/>
      <c r="E624" s="18"/>
      <c r="F624" s="12"/>
      <c r="G624" s="12"/>
      <c r="H624" s="18"/>
      <c r="I624" s="18"/>
      <c r="J624" s="18"/>
    </row>
    <row r="625" customFormat="false" ht="15" hidden="false" customHeight="false" outlineLevel="0" collapsed="false">
      <c r="A625" s="18"/>
      <c r="B625" s="18"/>
      <c r="C625" s="12"/>
      <c r="D625" s="12"/>
      <c r="E625" s="18"/>
      <c r="F625" s="12"/>
      <c r="G625" s="12"/>
      <c r="H625" s="18"/>
      <c r="I625" s="18"/>
      <c r="J625" s="18"/>
    </row>
    <row r="626" customFormat="false" ht="15" hidden="false" customHeight="false" outlineLevel="0" collapsed="false">
      <c r="A626" s="18"/>
      <c r="B626" s="18"/>
      <c r="C626" s="12"/>
      <c r="D626" s="12"/>
      <c r="E626" s="18"/>
      <c r="F626" s="12"/>
      <c r="G626" s="12"/>
      <c r="H626" s="18"/>
      <c r="I626" s="18"/>
      <c r="J626" s="18"/>
    </row>
    <row r="627" customFormat="false" ht="15" hidden="false" customHeight="false" outlineLevel="0" collapsed="false">
      <c r="A627" s="18"/>
      <c r="B627" s="18"/>
      <c r="C627" s="12"/>
      <c r="D627" s="12"/>
      <c r="E627" s="18"/>
      <c r="F627" s="12"/>
      <c r="G627" s="12"/>
      <c r="H627" s="18"/>
      <c r="I627" s="18"/>
      <c r="J627" s="18"/>
    </row>
    <row r="628" customFormat="false" ht="15" hidden="false" customHeight="false" outlineLevel="0" collapsed="false">
      <c r="A628" s="18"/>
      <c r="B628" s="18"/>
      <c r="C628" s="12"/>
      <c r="D628" s="12"/>
      <c r="E628" s="18"/>
      <c r="F628" s="12"/>
      <c r="G628" s="12"/>
      <c r="H628" s="18"/>
      <c r="I628" s="18"/>
      <c r="J628" s="18"/>
    </row>
    <row r="629" customFormat="false" ht="15" hidden="false" customHeight="false" outlineLevel="0" collapsed="false">
      <c r="A629" s="18"/>
      <c r="B629" s="18"/>
      <c r="C629" s="12"/>
      <c r="D629" s="12"/>
      <c r="E629" s="18"/>
      <c r="F629" s="12"/>
      <c r="G629" s="12"/>
      <c r="H629" s="18"/>
      <c r="I629" s="18"/>
      <c r="J629" s="18"/>
    </row>
    <row r="630" customFormat="false" ht="15" hidden="false" customHeight="false" outlineLevel="0" collapsed="false">
      <c r="A630" s="18"/>
      <c r="B630" s="18"/>
      <c r="C630" s="12"/>
      <c r="D630" s="12"/>
      <c r="E630" s="18"/>
      <c r="F630" s="12"/>
      <c r="G630" s="12"/>
      <c r="H630" s="18"/>
      <c r="I630" s="18"/>
      <c r="J630" s="18"/>
    </row>
    <row r="631" customFormat="false" ht="15" hidden="false" customHeight="false" outlineLevel="0" collapsed="false">
      <c r="A631" s="18"/>
      <c r="B631" s="18"/>
      <c r="C631" s="12"/>
      <c r="D631" s="12"/>
      <c r="E631" s="18"/>
      <c r="F631" s="12"/>
      <c r="G631" s="12"/>
      <c r="H631" s="18"/>
      <c r="I631" s="18"/>
      <c r="J631" s="18"/>
    </row>
    <row r="632" customFormat="false" ht="15" hidden="false" customHeight="false" outlineLevel="0" collapsed="false">
      <c r="A632" s="18"/>
      <c r="B632" s="18"/>
      <c r="C632" s="12"/>
      <c r="D632" s="12"/>
      <c r="E632" s="18"/>
      <c r="F632" s="12"/>
      <c r="G632" s="12"/>
      <c r="H632" s="18"/>
      <c r="I632" s="18"/>
      <c r="J632" s="18"/>
    </row>
    <row r="633" customFormat="false" ht="15" hidden="false" customHeight="false" outlineLevel="0" collapsed="false">
      <c r="A633" s="18"/>
      <c r="B633" s="18"/>
      <c r="C633" s="12"/>
      <c r="D633" s="12"/>
      <c r="E633" s="18"/>
      <c r="F633" s="12"/>
      <c r="G633" s="12"/>
      <c r="H633" s="18"/>
      <c r="I633" s="18"/>
      <c r="J633" s="18"/>
    </row>
    <row r="634" customFormat="false" ht="15" hidden="false" customHeight="false" outlineLevel="0" collapsed="false">
      <c r="A634" s="18"/>
      <c r="B634" s="18"/>
      <c r="C634" s="12"/>
      <c r="D634" s="12"/>
      <c r="E634" s="18"/>
      <c r="F634" s="12"/>
      <c r="G634" s="12"/>
      <c r="H634" s="18"/>
      <c r="I634" s="18"/>
      <c r="J634" s="18"/>
    </row>
    <row r="635" customFormat="false" ht="15" hidden="false" customHeight="false" outlineLevel="0" collapsed="false">
      <c r="A635" s="18"/>
      <c r="B635" s="18"/>
      <c r="C635" s="12"/>
      <c r="D635" s="12"/>
      <c r="E635" s="18"/>
      <c r="F635" s="12"/>
      <c r="G635" s="12"/>
      <c r="H635" s="18"/>
      <c r="I635" s="18"/>
      <c r="J635" s="18"/>
    </row>
    <row r="636" customFormat="false" ht="15" hidden="false" customHeight="false" outlineLevel="0" collapsed="false">
      <c r="A636" s="18"/>
      <c r="B636" s="18"/>
      <c r="C636" s="12"/>
      <c r="D636" s="12"/>
      <c r="E636" s="18"/>
      <c r="F636" s="12"/>
      <c r="G636" s="12"/>
      <c r="H636" s="18"/>
      <c r="I636" s="18"/>
      <c r="J636" s="18"/>
    </row>
    <row r="637" customFormat="false" ht="15" hidden="false" customHeight="false" outlineLevel="0" collapsed="false">
      <c r="A637" s="18"/>
      <c r="B637" s="18"/>
      <c r="C637" s="12"/>
      <c r="D637" s="12"/>
      <c r="E637" s="18"/>
      <c r="F637" s="12"/>
      <c r="G637" s="12"/>
      <c r="H637" s="18"/>
      <c r="I637" s="18"/>
      <c r="J637" s="18"/>
    </row>
    <row r="638" customFormat="false" ht="15" hidden="false" customHeight="false" outlineLevel="0" collapsed="false">
      <c r="A638" s="18"/>
      <c r="B638" s="18"/>
      <c r="C638" s="12"/>
      <c r="D638" s="12"/>
      <c r="E638" s="18"/>
      <c r="F638" s="12"/>
      <c r="G638" s="12"/>
      <c r="H638" s="18"/>
      <c r="I638" s="18"/>
      <c r="J638" s="18"/>
    </row>
    <row r="639" customFormat="false" ht="15" hidden="false" customHeight="false" outlineLevel="0" collapsed="false">
      <c r="A639" s="18"/>
      <c r="B639" s="18"/>
      <c r="C639" s="12"/>
      <c r="D639" s="12"/>
      <c r="E639" s="18"/>
      <c r="F639" s="12"/>
      <c r="G639" s="12"/>
      <c r="H639" s="18"/>
      <c r="I639" s="18"/>
      <c r="J639" s="18"/>
    </row>
    <row r="640" customFormat="false" ht="15" hidden="false" customHeight="false" outlineLevel="0" collapsed="false">
      <c r="A640" s="18"/>
      <c r="B640" s="18"/>
      <c r="C640" s="12"/>
      <c r="D640" s="12"/>
      <c r="E640" s="18"/>
      <c r="F640" s="12"/>
      <c r="G640" s="12"/>
      <c r="H640" s="18"/>
      <c r="I640" s="18"/>
      <c r="J640" s="18"/>
    </row>
    <row r="641" customFormat="false" ht="15" hidden="false" customHeight="false" outlineLevel="0" collapsed="false">
      <c r="A641" s="18"/>
      <c r="B641" s="18"/>
      <c r="C641" s="12"/>
      <c r="D641" s="12"/>
      <c r="E641" s="18"/>
      <c r="F641" s="12"/>
      <c r="G641" s="12"/>
      <c r="H641" s="18"/>
      <c r="I641" s="18"/>
      <c r="J641" s="18"/>
    </row>
    <row r="642" customFormat="false" ht="15" hidden="false" customHeight="false" outlineLevel="0" collapsed="false">
      <c r="A642" s="18"/>
      <c r="B642" s="18"/>
      <c r="C642" s="12"/>
      <c r="D642" s="12"/>
      <c r="E642" s="18"/>
      <c r="F642" s="12"/>
      <c r="G642" s="12"/>
      <c r="H642" s="18"/>
      <c r="I642" s="18"/>
      <c r="J642" s="18"/>
    </row>
    <row r="643" customFormat="false" ht="15" hidden="false" customHeight="false" outlineLevel="0" collapsed="false">
      <c r="A643" s="18"/>
      <c r="B643" s="18"/>
      <c r="C643" s="12"/>
      <c r="D643" s="12"/>
      <c r="E643" s="18"/>
      <c r="F643" s="12"/>
      <c r="G643" s="12"/>
      <c r="H643" s="18"/>
      <c r="I643" s="18"/>
      <c r="J643" s="18"/>
    </row>
    <row r="644" customFormat="false" ht="15" hidden="false" customHeight="false" outlineLevel="0" collapsed="false">
      <c r="A644" s="18"/>
      <c r="B644" s="18"/>
      <c r="C644" s="12"/>
      <c r="D644" s="12"/>
      <c r="E644" s="18"/>
      <c r="F644" s="12"/>
      <c r="G644" s="12"/>
      <c r="H644" s="18"/>
      <c r="I644" s="18"/>
      <c r="J644" s="18"/>
    </row>
    <row r="645" customFormat="false" ht="15" hidden="false" customHeight="false" outlineLevel="0" collapsed="false">
      <c r="A645" s="18"/>
      <c r="B645" s="18"/>
      <c r="C645" s="12"/>
      <c r="D645" s="12"/>
      <c r="E645" s="18"/>
      <c r="F645" s="12"/>
      <c r="G645" s="12"/>
      <c r="H645" s="18"/>
      <c r="I645" s="18"/>
      <c r="J645" s="18"/>
    </row>
    <row r="646" customFormat="false" ht="15" hidden="false" customHeight="false" outlineLevel="0" collapsed="false">
      <c r="A646" s="18"/>
      <c r="B646" s="18"/>
      <c r="C646" s="12"/>
      <c r="D646" s="12"/>
      <c r="E646" s="18"/>
      <c r="F646" s="12"/>
      <c r="G646" s="12"/>
      <c r="H646" s="18"/>
      <c r="I646" s="18"/>
      <c r="J646" s="18"/>
    </row>
    <row r="647" customFormat="false" ht="15" hidden="false" customHeight="false" outlineLevel="0" collapsed="false">
      <c r="A647" s="18"/>
      <c r="B647" s="18"/>
      <c r="C647" s="12"/>
      <c r="D647" s="12"/>
      <c r="E647" s="18"/>
      <c r="F647" s="12"/>
      <c r="G647" s="12"/>
      <c r="H647" s="18"/>
      <c r="I647" s="18"/>
      <c r="J647" s="18"/>
    </row>
    <row r="648" customFormat="false" ht="15" hidden="false" customHeight="false" outlineLevel="0" collapsed="false">
      <c r="A648" s="18"/>
      <c r="B648" s="18"/>
      <c r="C648" s="12"/>
      <c r="D648" s="12"/>
      <c r="E648" s="18"/>
      <c r="F648" s="12"/>
      <c r="G648" s="12"/>
      <c r="H648" s="18"/>
      <c r="I648" s="18"/>
      <c r="J648" s="18"/>
    </row>
    <row r="649" customFormat="false" ht="15" hidden="false" customHeight="false" outlineLevel="0" collapsed="false">
      <c r="A649" s="18"/>
      <c r="B649" s="18"/>
      <c r="C649" s="12"/>
      <c r="D649" s="12"/>
      <c r="E649" s="18"/>
      <c r="F649" s="12"/>
      <c r="G649" s="12"/>
      <c r="H649" s="18"/>
      <c r="I649" s="18"/>
      <c r="J649" s="18"/>
    </row>
    <row r="650" customFormat="false" ht="15" hidden="false" customHeight="false" outlineLevel="0" collapsed="false">
      <c r="A650" s="18"/>
      <c r="B650" s="18"/>
      <c r="C650" s="12"/>
      <c r="D650" s="12"/>
      <c r="E650" s="18"/>
      <c r="F650" s="12"/>
      <c r="G650" s="12"/>
      <c r="H650" s="18"/>
      <c r="I650" s="18"/>
      <c r="J650" s="18"/>
    </row>
    <row r="651" customFormat="false" ht="15" hidden="false" customHeight="false" outlineLevel="0" collapsed="false">
      <c r="A651" s="18"/>
      <c r="B651" s="18"/>
      <c r="C651" s="12"/>
      <c r="D651" s="12"/>
      <c r="E651" s="18"/>
      <c r="F651" s="12"/>
      <c r="G651" s="12"/>
      <c r="H651" s="18"/>
      <c r="I651" s="18"/>
      <c r="J651" s="18"/>
    </row>
    <row r="652" customFormat="false" ht="15" hidden="false" customHeight="false" outlineLevel="0" collapsed="false">
      <c r="A652" s="18"/>
      <c r="B652" s="18"/>
      <c r="C652" s="12"/>
      <c r="D652" s="12"/>
      <c r="E652" s="18"/>
      <c r="F652" s="12"/>
      <c r="G652" s="12"/>
      <c r="H652" s="18"/>
      <c r="I652" s="18"/>
      <c r="J652" s="18"/>
    </row>
    <row r="653" customFormat="false" ht="15" hidden="false" customHeight="false" outlineLevel="0" collapsed="false">
      <c r="A653" s="18"/>
      <c r="B653" s="18"/>
      <c r="C653" s="12"/>
      <c r="D653" s="12"/>
      <c r="E653" s="18"/>
      <c r="F653" s="12"/>
      <c r="G653" s="12"/>
      <c r="H653" s="18"/>
      <c r="I653" s="18"/>
      <c r="J653" s="18"/>
    </row>
    <row r="654" customFormat="false" ht="15" hidden="false" customHeight="false" outlineLevel="0" collapsed="false">
      <c r="A654" s="18"/>
      <c r="B654" s="18"/>
      <c r="C654" s="12"/>
      <c r="D654" s="12"/>
      <c r="E654" s="18"/>
      <c r="F654" s="12"/>
      <c r="G654" s="12"/>
      <c r="H654" s="18"/>
      <c r="I654" s="18"/>
      <c r="J654" s="18"/>
    </row>
    <row r="655" customFormat="false" ht="15" hidden="false" customHeight="false" outlineLevel="0" collapsed="false">
      <c r="A655" s="18"/>
      <c r="B655" s="18"/>
      <c r="C655" s="12"/>
      <c r="D655" s="12"/>
      <c r="E655" s="18"/>
      <c r="F655" s="12"/>
      <c r="G655" s="12"/>
      <c r="H655" s="18"/>
      <c r="I655" s="18"/>
      <c r="J655" s="18"/>
    </row>
    <row r="656" customFormat="false" ht="15" hidden="false" customHeight="false" outlineLevel="0" collapsed="false">
      <c r="A656" s="18"/>
      <c r="B656" s="18"/>
      <c r="C656" s="12"/>
      <c r="D656" s="12"/>
      <c r="E656" s="18"/>
      <c r="F656" s="12"/>
      <c r="G656" s="12"/>
      <c r="H656" s="18"/>
      <c r="I656" s="18"/>
      <c r="J656" s="18"/>
    </row>
    <row r="657" customFormat="false" ht="15" hidden="false" customHeight="false" outlineLevel="0" collapsed="false">
      <c r="A657" s="18"/>
      <c r="B657" s="18"/>
      <c r="C657" s="12"/>
      <c r="D657" s="12"/>
      <c r="E657" s="18"/>
      <c r="F657" s="12"/>
      <c r="G657" s="12"/>
      <c r="H657" s="18"/>
      <c r="I657" s="18"/>
      <c r="J657" s="18"/>
    </row>
    <row r="658" customFormat="false" ht="15" hidden="false" customHeight="false" outlineLevel="0" collapsed="false">
      <c r="A658" s="18"/>
      <c r="B658" s="18"/>
      <c r="C658" s="12"/>
      <c r="D658" s="12"/>
      <c r="E658" s="18"/>
      <c r="F658" s="12"/>
      <c r="G658" s="12"/>
      <c r="H658" s="18"/>
      <c r="I658" s="18"/>
      <c r="J658" s="18"/>
    </row>
    <row r="659" customFormat="false" ht="15" hidden="false" customHeight="false" outlineLevel="0" collapsed="false">
      <c r="A659" s="18"/>
      <c r="B659" s="18"/>
      <c r="C659" s="12"/>
      <c r="D659" s="12"/>
      <c r="E659" s="18"/>
      <c r="F659" s="12"/>
      <c r="G659" s="12"/>
      <c r="H659" s="18"/>
      <c r="I659" s="18"/>
      <c r="J659" s="18"/>
    </row>
    <row r="660" customFormat="false" ht="15" hidden="false" customHeight="false" outlineLevel="0" collapsed="false">
      <c r="A660" s="18"/>
      <c r="B660" s="18"/>
      <c r="C660" s="12"/>
      <c r="D660" s="12"/>
      <c r="E660" s="18"/>
      <c r="F660" s="12"/>
      <c r="G660" s="12"/>
      <c r="H660" s="18"/>
      <c r="I660" s="18"/>
      <c r="J660" s="18"/>
    </row>
    <row r="661" customFormat="false" ht="15" hidden="false" customHeight="false" outlineLevel="0" collapsed="false">
      <c r="A661" s="18"/>
      <c r="B661" s="18"/>
      <c r="C661" s="12"/>
      <c r="D661" s="12"/>
      <c r="E661" s="18"/>
      <c r="F661" s="12"/>
      <c r="G661" s="12"/>
      <c r="H661" s="18"/>
      <c r="I661" s="18"/>
      <c r="J661" s="18"/>
    </row>
    <row r="662" customFormat="false" ht="15" hidden="false" customHeight="false" outlineLevel="0" collapsed="false">
      <c r="A662" s="18"/>
      <c r="B662" s="18"/>
      <c r="C662" s="12"/>
      <c r="D662" s="12"/>
      <c r="E662" s="18"/>
      <c r="F662" s="12"/>
      <c r="G662" s="12"/>
      <c r="H662" s="18"/>
      <c r="I662" s="18"/>
      <c r="J662" s="18"/>
    </row>
    <row r="663" customFormat="false" ht="15" hidden="false" customHeight="false" outlineLevel="0" collapsed="false">
      <c r="A663" s="18"/>
      <c r="B663" s="18"/>
      <c r="C663" s="12"/>
      <c r="D663" s="12"/>
      <c r="E663" s="18"/>
      <c r="F663" s="12"/>
      <c r="G663" s="12"/>
      <c r="H663" s="18"/>
      <c r="I663" s="18"/>
      <c r="J663" s="18"/>
    </row>
    <row r="664" customFormat="false" ht="15" hidden="false" customHeight="false" outlineLevel="0" collapsed="false">
      <c r="A664" s="18"/>
      <c r="B664" s="18"/>
      <c r="C664" s="12"/>
      <c r="D664" s="12"/>
      <c r="E664" s="18"/>
      <c r="F664" s="12"/>
      <c r="G664" s="12"/>
      <c r="H664" s="18"/>
      <c r="I664" s="18"/>
      <c r="J664" s="18"/>
    </row>
    <row r="665" customFormat="false" ht="15" hidden="false" customHeight="false" outlineLevel="0" collapsed="false">
      <c r="A665" s="18"/>
      <c r="B665" s="18"/>
      <c r="C665" s="12"/>
      <c r="D665" s="12"/>
      <c r="E665" s="18"/>
      <c r="F665" s="12"/>
      <c r="G665" s="12"/>
      <c r="H665" s="18"/>
      <c r="I665" s="18"/>
      <c r="J665" s="18"/>
    </row>
    <row r="666" customFormat="false" ht="15" hidden="false" customHeight="false" outlineLevel="0" collapsed="false">
      <c r="A666" s="18"/>
      <c r="B666" s="18"/>
      <c r="C666" s="12"/>
      <c r="D666" s="12"/>
      <c r="E666" s="18"/>
      <c r="F666" s="12"/>
      <c r="G666" s="12"/>
      <c r="H666" s="18"/>
      <c r="I666" s="18"/>
      <c r="J666" s="18"/>
    </row>
    <row r="667" customFormat="false" ht="15" hidden="false" customHeight="false" outlineLevel="0" collapsed="false">
      <c r="A667" s="18"/>
      <c r="B667" s="18"/>
      <c r="C667" s="12"/>
      <c r="D667" s="12"/>
      <c r="E667" s="18"/>
      <c r="F667" s="12"/>
      <c r="G667" s="12"/>
      <c r="H667" s="18"/>
      <c r="I667" s="18"/>
      <c r="J667" s="18"/>
    </row>
    <row r="668" customFormat="false" ht="15" hidden="false" customHeight="false" outlineLevel="0" collapsed="false">
      <c r="A668" s="18"/>
      <c r="B668" s="18"/>
      <c r="C668" s="12"/>
      <c r="D668" s="12"/>
      <c r="E668" s="18"/>
      <c r="F668" s="12"/>
      <c r="G668" s="12"/>
      <c r="H668" s="18"/>
      <c r="I668" s="18"/>
      <c r="J668" s="18"/>
    </row>
    <row r="669" customFormat="false" ht="15" hidden="false" customHeight="false" outlineLevel="0" collapsed="false">
      <c r="A669" s="18"/>
      <c r="B669" s="18"/>
      <c r="C669" s="12"/>
      <c r="D669" s="12"/>
      <c r="E669" s="18"/>
      <c r="F669" s="12"/>
      <c r="G669" s="12"/>
      <c r="H669" s="18"/>
      <c r="I669" s="18"/>
      <c r="J669" s="18"/>
    </row>
    <row r="670" customFormat="false" ht="15" hidden="false" customHeight="false" outlineLevel="0" collapsed="false">
      <c r="A670" s="18"/>
      <c r="B670" s="18"/>
      <c r="C670" s="12"/>
      <c r="D670" s="12"/>
      <c r="E670" s="18"/>
      <c r="F670" s="12"/>
      <c r="G670" s="12"/>
      <c r="H670" s="18"/>
      <c r="I670" s="18"/>
      <c r="J670" s="18"/>
    </row>
    <row r="671" customFormat="false" ht="15" hidden="false" customHeight="false" outlineLevel="0" collapsed="false">
      <c r="A671" s="18"/>
      <c r="B671" s="18"/>
      <c r="C671" s="12"/>
      <c r="D671" s="12"/>
      <c r="E671" s="18"/>
      <c r="F671" s="12"/>
      <c r="G671" s="12"/>
      <c r="H671" s="18"/>
      <c r="I671" s="18"/>
      <c r="J671" s="18"/>
    </row>
    <row r="672" customFormat="false" ht="15" hidden="false" customHeight="false" outlineLevel="0" collapsed="false">
      <c r="A672" s="18"/>
      <c r="B672" s="18"/>
      <c r="C672" s="12"/>
      <c r="D672" s="12"/>
      <c r="E672" s="18"/>
      <c r="F672" s="12"/>
      <c r="G672" s="12"/>
      <c r="H672" s="18"/>
      <c r="I672" s="18"/>
      <c r="J672" s="18"/>
    </row>
    <row r="673" customFormat="false" ht="15" hidden="false" customHeight="false" outlineLevel="0" collapsed="false">
      <c r="A673" s="18"/>
      <c r="B673" s="18"/>
      <c r="C673" s="12"/>
      <c r="D673" s="12"/>
      <c r="E673" s="18"/>
      <c r="F673" s="12"/>
      <c r="G673" s="12"/>
      <c r="H673" s="18"/>
      <c r="I673" s="18"/>
      <c r="J673" s="18"/>
    </row>
    <row r="674" customFormat="false" ht="15" hidden="false" customHeight="false" outlineLevel="0" collapsed="false">
      <c r="A674" s="18"/>
      <c r="B674" s="18"/>
      <c r="C674" s="12"/>
      <c r="D674" s="12"/>
      <c r="E674" s="18"/>
      <c r="F674" s="12"/>
      <c r="G674" s="12"/>
      <c r="H674" s="18"/>
      <c r="I674" s="18"/>
      <c r="J674" s="18"/>
    </row>
    <row r="675" customFormat="false" ht="15" hidden="false" customHeight="false" outlineLevel="0" collapsed="false">
      <c r="A675" s="18"/>
      <c r="B675" s="18"/>
      <c r="C675" s="12"/>
      <c r="D675" s="12"/>
      <c r="E675" s="18"/>
      <c r="F675" s="12"/>
      <c r="G675" s="12"/>
      <c r="H675" s="18"/>
      <c r="I675" s="18"/>
      <c r="J675" s="18"/>
    </row>
    <row r="676" customFormat="false" ht="15" hidden="false" customHeight="false" outlineLevel="0" collapsed="false">
      <c r="A676" s="18"/>
      <c r="B676" s="18"/>
      <c r="C676" s="12"/>
      <c r="D676" s="12"/>
      <c r="E676" s="18"/>
      <c r="F676" s="12"/>
      <c r="G676" s="12"/>
      <c r="H676" s="18"/>
      <c r="I676" s="18"/>
      <c r="J676" s="18"/>
    </row>
    <row r="677" customFormat="false" ht="15" hidden="false" customHeight="false" outlineLevel="0" collapsed="false">
      <c r="A677" s="18"/>
      <c r="B677" s="18"/>
      <c r="C677" s="12"/>
      <c r="D677" s="12"/>
      <c r="E677" s="18"/>
      <c r="F677" s="12"/>
      <c r="G677" s="12"/>
      <c r="H677" s="18"/>
      <c r="I677" s="18"/>
      <c r="J677" s="18"/>
    </row>
    <row r="678" customFormat="false" ht="15" hidden="false" customHeight="false" outlineLevel="0" collapsed="false">
      <c r="A678" s="18"/>
      <c r="B678" s="18"/>
      <c r="C678" s="12"/>
      <c r="D678" s="12"/>
      <c r="E678" s="18"/>
      <c r="F678" s="12"/>
      <c r="G678" s="12"/>
      <c r="H678" s="18"/>
      <c r="I678" s="18"/>
      <c r="J678" s="18"/>
    </row>
    <row r="679" customFormat="false" ht="15" hidden="false" customHeight="false" outlineLevel="0" collapsed="false">
      <c r="A679" s="18"/>
      <c r="B679" s="18"/>
      <c r="C679" s="12"/>
      <c r="D679" s="12"/>
      <c r="E679" s="18"/>
      <c r="F679" s="12"/>
      <c r="G679" s="12"/>
      <c r="H679" s="18"/>
      <c r="I679" s="18"/>
      <c r="J679" s="18"/>
    </row>
    <row r="680" customFormat="false" ht="15" hidden="false" customHeight="false" outlineLevel="0" collapsed="false">
      <c r="A680" s="18"/>
      <c r="B680" s="18"/>
      <c r="C680" s="12"/>
      <c r="D680" s="12"/>
      <c r="E680" s="18"/>
      <c r="F680" s="12"/>
      <c r="G680" s="12"/>
      <c r="H680" s="18"/>
      <c r="I680" s="18"/>
      <c r="J680" s="18"/>
    </row>
    <row r="681" customFormat="false" ht="15" hidden="false" customHeight="false" outlineLevel="0" collapsed="false">
      <c r="A681" s="18"/>
      <c r="B681" s="18"/>
      <c r="C681" s="12"/>
      <c r="D681" s="12"/>
      <c r="E681" s="18"/>
      <c r="F681" s="12"/>
      <c r="G681" s="12"/>
      <c r="H681" s="18"/>
      <c r="I681" s="18"/>
      <c r="J681" s="18"/>
    </row>
    <row r="682" customFormat="false" ht="15" hidden="false" customHeight="false" outlineLevel="0" collapsed="false">
      <c r="A682" s="18"/>
      <c r="B682" s="18"/>
      <c r="C682" s="12"/>
      <c r="D682" s="12"/>
      <c r="E682" s="18"/>
      <c r="F682" s="12"/>
      <c r="G682" s="12"/>
      <c r="H682" s="18"/>
      <c r="I682" s="18"/>
      <c r="J682" s="18"/>
    </row>
    <row r="683" customFormat="false" ht="15" hidden="false" customHeight="false" outlineLevel="0" collapsed="false">
      <c r="A683" s="18"/>
      <c r="B683" s="18"/>
      <c r="C683" s="12"/>
      <c r="D683" s="12"/>
      <c r="E683" s="18"/>
      <c r="F683" s="12"/>
      <c r="G683" s="12"/>
      <c r="H683" s="18"/>
      <c r="I683" s="18"/>
      <c r="J683" s="18"/>
    </row>
    <row r="684" customFormat="false" ht="15" hidden="false" customHeight="false" outlineLevel="0" collapsed="false">
      <c r="A684" s="18"/>
      <c r="B684" s="18"/>
      <c r="C684" s="12"/>
      <c r="D684" s="12"/>
      <c r="E684" s="18"/>
      <c r="F684" s="12"/>
      <c r="G684" s="12"/>
      <c r="H684" s="18"/>
      <c r="I684" s="18"/>
      <c r="J684" s="18"/>
    </row>
    <row r="685" customFormat="false" ht="15" hidden="false" customHeight="false" outlineLevel="0" collapsed="false">
      <c r="A685" s="18"/>
      <c r="B685" s="18"/>
      <c r="C685" s="12"/>
      <c r="D685" s="12"/>
      <c r="E685" s="18"/>
      <c r="F685" s="12"/>
      <c r="G685" s="12"/>
      <c r="H685" s="18"/>
      <c r="I685" s="18"/>
      <c r="J685" s="18"/>
    </row>
    <row r="686" customFormat="false" ht="15" hidden="false" customHeight="false" outlineLevel="0" collapsed="false">
      <c r="A686" s="18"/>
      <c r="B686" s="18"/>
      <c r="C686" s="12"/>
      <c r="D686" s="12"/>
      <c r="E686" s="18"/>
      <c r="F686" s="12"/>
      <c r="G686" s="12"/>
      <c r="H686" s="18"/>
      <c r="I686" s="18"/>
      <c r="J686" s="18"/>
    </row>
    <row r="687" customFormat="false" ht="15" hidden="false" customHeight="false" outlineLevel="0" collapsed="false">
      <c r="A687" s="18"/>
      <c r="B687" s="18"/>
      <c r="C687" s="12"/>
      <c r="D687" s="12"/>
      <c r="E687" s="18"/>
      <c r="F687" s="12"/>
      <c r="G687" s="12"/>
      <c r="H687" s="18"/>
      <c r="I687" s="18"/>
      <c r="J687" s="18"/>
    </row>
    <row r="688" customFormat="false" ht="15" hidden="false" customHeight="false" outlineLevel="0" collapsed="false">
      <c r="A688" s="18"/>
      <c r="B688" s="18"/>
      <c r="C688" s="12"/>
      <c r="D688" s="12"/>
      <c r="E688" s="18"/>
      <c r="F688" s="12"/>
      <c r="G688" s="12"/>
      <c r="H688" s="18"/>
      <c r="I688" s="18"/>
      <c r="J688" s="18"/>
    </row>
    <row r="689" customFormat="false" ht="15" hidden="false" customHeight="false" outlineLevel="0" collapsed="false">
      <c r="A689" s="18"/>
      <c r="B689" s="18"/>
      <c r="C689" s="12"/>
      <c r="D689" s="12"/>
      <c r="E689" s="18"/>
      <c r="F689" s="12"/>
      <c r="G689" s="12"/>
      <c r="H689" s="18"/>
      <c r="I689" s="18"/>
      <c r="J689" s="18"/>
    </row>
    <row r="690" customFormat="false" ht="15" hidden="false" customHeight="false" outlineLevel="0" collapsed="false">
      <c r="A690" s="18"/>
      <c r="B690" s="18"/>
      <c r="C690" s="12"/>
      <c r="D690" s="12"/>
      <c r="E690" s="18"/>
      <c r="F690" s="12"/>
      <c r="G690" s="12"/>
      <c r="H690" s="18"/>
      <c r="I690" s="18"/>
      <c r="J690" s="18"/>
    </row>
    <row r="691" customFormat="false" ht="15" hidden="false" customHeight="false" outlineLevel="0" collapsed="false">
      <c r="A691" s="18"/>
      <c r="B691" s="18"/>
      <c r="C691" s="12"/>
      <c r="D691" s="12"/>
      <c r="E691" s="18"/>
      <c r="F691" s="12"/>
      <c r="G691" s="12"/>
      <c r="H691" s="18"/>
      <c r="I691" s="18"/>
      <c r="J691" s="18"/>
    </row>
    <row r="692" customFormat="false" ht="15" hidden="false" customHeight="false" outlineLevel="0" collapsed="false">
      <c r="A692" s="18"/>
      <c r="B692" s="18"/>
      <c r="C692" s="12"/>
      <c r="D692" s="12"/>
      <c r="E692" s="18"/>
      <c r="F692" s="12"/>
      <c r="G692" s="12"/>
      <c r="H692" s="18"/>
      <c r="I692" s="18"/>
      <c r="J692" s="18"/>
    </row>
    <row r="693" customFormat="false" ht="15" hidden="false" customHeight="false" outlineLevel="0" collapsed="false">
      <c r="A693" s="18"/>
      <c r="B693" s="18"/>
      <c r="C693" s="12"/>
      <c r="D693" s="12"/>
      <c r="E693" s="18"/>
      <c r="F693" s="12"/>
      <c r="G693" s="12"/>
      <c r="H693" s="18"/>
      <c r="I693" s="18"/>
      <c r="J693" s="18"/>
    </row>
    <row r="694" customFormat="false" ht="15" hidden="false" customHeight="false" outlineLevel="0" collapsed="false">
      <c r="A694" s="18"/>
      <c r="B694" s="18"/>
      <c r="C694" s="12"/>
      <c r="D694" s="12"/>
      <c r="E694" s="18"/>
      <c r="F694" s="12"/>
      <c r="G694" s="12"/>
      <c r="H694" s="18"/>
      <c r="I694" s="18"/>
      <c r="J694" s="18"/>
    </row>
    <row r="695" customFormat="false" ht="15" hidden="false" customHeight="false" outlineLevel="0" collapsed="false">
      <c r="A695" s="18"/>
      <c r="B695" s="18"/>
      <c r="C695" s="12"/>
      <c r="D695" s="12"/>
      <c r="E695" s="18"/>
      <c r="F695" s="12"/>
      <c r="G695" s="12"/>
      <c r="H695" s="18"/>
      <c r="I695" s="18"/>
      <c r="J695" s="18"/>
    </row>
    <row r="696" customFormat="false" ht="15" hidden="false" customHeight="false" outlineLevel="0" collapsed="false">
      <c r="A696" s="18"/>
      <c r="B696" s="18"/>
      <c r="C696" s="12"/>
      <c r="D696" s="12"/>
      <c r="E696" s="18"/>
      <c r="F696" s="12"/>
      <c r="G696" s="12"/>
      <c r="H696" s="18"/>
      <c r="I696" s="18"/>
      <c r="J696" s="18"/>
    </row>
    <row r="697" customFormat="false" ht="15" hidden="false" customHeight="false" outlineLevel="0" collapsed="false">
      <c r="A697" s="18"/>
      <c r="B697" s="18"/>
      <c r="C697" s="12"/>
      <c r="D697" s="12"/>
      <c r="E697" s="18"/>
      <c r="F697" s="12"/>
      <c r="G697" s="12"/>
      <c r="H697" s="18"/>
      <c r="I697" s="18"/>
      <c r="J697" s="18"/>
    </row>
    <row r="698" customFormat="false" ht="15" hidden="false" customHeight="false" outlineLevel="0" collapsed="false">
      <c r="A698" s="18"/>
      <c r="B698" s="18"/>
      <c r="C698" s="12"/>
      <c r="D698" s="12"/>
      <c r="E698" s="18"/>
      <c r="F698" s="12"/>
      <c r="G698" s="12"/>
      <c r="H698" s="18"/>
      <c r="I698" s="18"/>
      <c r="J698" s="18"/>
    </row>
    <row r="699" customFormat="false" ht="15" hidden="false" customHeight="false" outlineLevel="0" collapsed="false">
      <c r="A699" s="18"/>
      <c r="B699" s="18"/>
      <c r="C699" s="12"/>
      <c r="D699" s="12"/>
      <c r="E699" s="18"/>
      <c r="F699" s="12"/>
      <c r="G699" s="12"/>
      <c r="H699" s="18"/>
      <c r="I699" s="18"/>
      <c r="J699" s="18"/>
    </row>
    <row r="700" customFormat="false" ht="15" hidden="false" customHeight="false" outlineLevel="0" collapsed="false">
      <c r="A700" s="18"/>
      <c r="B700" s="18"/>
      <c r="C700" s="12"/>
      <c r="D700" s="12"/>
      <c r="E700" s="18"/>
      <c r="F700" s="12"/>
      <c r="G700" s="12"/>
      <c r="H700" s="18"/>
      <c r="I700" s="18"/>
      <c r="J700" s="18"/>
    </row>
    <row r="701" customFormat="false" ht="15" hidden="false" customHeight="false" outlineLevel="0" collapsed="false">
      <c r="A701" s="18"/>
      <c r="B701" s="18"/>
      <c r="C701" s="12"/>
      <c r="D701" s="12"/>
      <c r="E701" s="18"/>
      <c r="F701" s="12"/>
      <c r="G701" s="12"/>
      <c r="H701" s="18"/>
      <c r="I701" s="18"/>
      <c r="J701" s="18"/>
    </row>
    <row r="702" customFormat="false" ht="15" hidden="false" customHeight="false" outlineLevel="0" collapsed="false">
      <c r="A702" s="18"/>
      <c r="B702" s="18"/>
      <c r="C702" s="12"/>
      <c r="D702" s="12"/>
      <c r="E702" s="18"/>
      <c r="F702" s="12"/>
      <c r="G702" s="12"/>
      <c r="H702" s="18"/>
      <c r="I702" s="18"/>
      <c r="J702" s="18"/>
    </row>
    <row r="703" customFormat="false" ht="15" hidden="false" customHeight="false" outlineLevel="0" collapsed="false">
      <c r="A703" s="18"/>
      <c r="B703" s="18"/>
      <c r="C703" s="12"/>
      <c r="D703" s="12"/>
      <c r="E703" s="18"/>
      <c r="F703" s="12"/>
      <c r="G703" s="12"/>
      <c r="H703" s="18"/>
      <c r="I703" s="18"/>
      <c r="J703" s="18"/>
    </row>
    <row r="704" customFormat="false" ht="15" hidden="false" customHeight="false" outlineLevel="0" collapsed="false">
      <c r="A704" s="18"/>
      <c r="B704" s="18"/>
      <c r="C704" s="12"/>
      <c r="D704" s="12"/>
      <c r="E704" s="18"/>
      <c r="F704" s="12"/>
      <c r="G704" s="12"/>
      <c r="H704" s="18"/>
      <c r="I704" s="18"/>
      <c r="J704" s="18"/>
    </row>
    <row r="705" customFormat="false" ht="15" hidden="false" customHeight="false" outlineLevel="0" collapsed="false">
      <c r="A705" s="18"/>
      <c r="B705" s="18"/>
      <c r="C705" s="12"/>
      <c r="D705" s="12"/>
      <c r="E705" s="18"/>
      <c r="F705" s="12"/>
      <c r="G705" s="12"/>
      <c r="H705" s="18"/>
      <c r="I705" s="18"/>
      <c r="J705" s="18"/>
    </row>
    <row r="706" customFormat="false" ht="15" hidden="false" customHeight="false" outlineLevel="0" collapsed="false">
      <c r="A706" s="18"/>
      <c r="B706" s="18"/>
      <c r="C706" s="12"/>
      <c r="D706" s="12"/>
      <c r="E706" s="18"/>
      <c r="F706" s="12"/>
      <c r="G706" s="12"/>
      <c r="H706" s="18"/>
      <c r="I706" s="18"/>
      <c r="J706" s="18"/>
    </row>
    <row r="707" customFormat="false" ht="15" hidden="false" customHeight="false" outlineLevel="0" collapsed="false">
      <c r="A707" s="18"/>
      <c r="B707" s="18"/>
      <c r="C707" s="12"/>
      <c r="D707" s="12"/>
      <c r="E707" s="18"/>
      <c r="F707" s="12"/>
      <c r="G707" s="12"/>
      <c r="H707" s="18"/>
      <c r="I707" s="18"/>
      <c r="J707" s="18"/>
    </row>
    <row r="708" customFormat="false" ht="15" hidden="false" customHeight="false" outlineLevel="0" collapsed="false">
      <c r="A708" s="18"/>
      <c r="B708" s="18"/>
      <c r="C708" s="12"/>
      <c r="D708" s="12"/>
      <c r="E708" s="18"/>
      <c r="F708" s="12"/>
      <c r="G708" s="12"/>
      <c r="H708" s="18"/>
      <c r="I708" s="18"/>
      <c r="J708" s="18"/>
    </row>
    <row r="709" customFormat="false" ht="15" hidden="false" customHeight="false" outlineLevel="0" collapsed="false">
      <c r="A709" s="18"/>
      <c r="B709" s="18"/>
      <c r="C709" s="12"/>
      <c r="D709" s="12"/>
      <c r="E709" s="18"/>
      <c r="F709" s="12"/>
      <c r="G709" s="12"/>
      <c r="H709" s="18"/>
      <c r="I709" s="18"/>
      <c r="J709" s="18"/>
    </row>
    <row r="710" customFormat="false" ht="15" hidden="false" customHeight="false" outlineLevel="0" collapsed="false">
      <c r="A710" s="18"/>
      <c r="B710" s="18"/>
      <c r="C710" s="12"/>
      <c r="D710" s="12"/>
      <c r="E710" s="18"/>
      <c r="F710" s="12"/>
      <c r="G710" s="12"/>
      <c r="H710" s="18"/>
      <c r="I710" s="18"/>
      <c r="J710" s="18"/>
    </row>
    <row r="711" customFormat="false" ht="15" hidden="false" customHeight="false" outlineLevel="0" collapsed="false">
      <c r="A711" s="18"/>
      <c r="B711" s="18"/>
      <c r="C711" s="12"/>
      <c r="D711" s="12"/>
      <c r="E711" s="18"/>
      <c r="F711" s="12"/>
      <c r="G711" s="12"/>
      <c r="H711" s="18"/>
      <c r="I711" s="18"/>
      <c r="J711" s="18"/>
    </row>
    <row r="712" customFormat="false" ht="15" hidden="false" customHeight="false" outlineLevel="0" collapsed="false">
      <c r="A712" s="18"/>
      <c r="B712" s="18"/>
      <c r="C712" s="12"/>
      <c r="D712" s="12"/>
      <c r="E712" s="18"/>
      <c r="F712" s="12"/>
      <c r="G712" s="12"/>
      <c r="H712" s="18"/>
      <c r="I712" s="18"/>
      <c r="J712" s="18"/>
    </row>
    <row r="713" customFormat="false" ht="15" hidden="false" customHeight="false" outlineLevel="0" collapsed="false">
      <c r="A713" s="18"/>
      <c r="B713" s="18"/>
      <c r="C713" s="12"/>
      <c r="D713" s="12"/>
      <c r="E713" s="18"/>
      <c r="F713" s="12"/>
      <c r="G713" s="12"/>
      <c r="H713" s="18"/>
      <c r="I713" s="18"/>
      <c r="J713" s="18"/>
    </row>
    <row r="714" customFormat="false" ht="15" hidden="false" customHeight="false" outlineLevel="0" collapsed="false">
      <c r="A714" s="18"/>
      <c r="B714" s="18"/>
      <c r="C714" s="12"/>
      <c r="D714" s="12"/>
      <c r="E714" s="18"/>
      <c r="F714" s="12"/>
      <c r="G714" s="12"/>
      <c r="H714" s="18"/>
      <c r="I714" s="18"/>
      <c r="J714" s="18"/>
    </row>
    <row r="715" customFormat="false" ht="15" hidden="false" customHeight="false" outlineLevel="0" collapsed="false">
      <c r="A715" s="18"/>
      <c r="B715" s="18"/>
      <c r="C715" s="12"/>
      <c r="D715" s="12"/>
      <c r="E715" s="18"/>
      <c r="F715" s="12"/>
      <c r="G715" s="12"/>
      <c r="H715" s="18"/>
      <c r="I715" s="18"/>
      <c r="J715" s="18"/>
    </row>
    <row r="716" customFormat="false" ht="15" hidden="false" customHeight="false" outlineLevel="0" collapsed="false">
      <c r="A716" s="18"/>
      <c r="B716" s="18"/>
      <c r="C716" s="12"/>
      <c r="D716" s="12"/>
      <c r="E716" s="18"/>
      <c r="F716" s="12"/>
      <c r="G716" s="12"/>
      <c r="H716" s="18"/>
      <c r="I716" s="18"/>
      <c r="J716" s="18"/>
    </row>
    <row r="717" customFormat="false" ht="15" hidden="false" customHeight="false" outlineLevel="0" collapsed="false">
      <c r="A717" s="18"/>
      <c r="B717" s="18"/>
      <c r="C717" s="12"/>
      <c r="D717" s="12"/>
      <c r="E717" s="18"/>
      <c r="F717" s="12"/>
      <c r="G717" s="12"/>
      <c r="H717" s="18"/>
      <c r="I717" s="18"/>
      <c r="J717" s="18"/>
    </row>
    <row r="718" customFormat="false" ht="15" hidden="false" customHeight="false" outlineLevel="0" collapsed="false">
      <c r="A718" s="18"/>
      <c r="B718" s="18"/>
      <c r="C718" s="12"/>
      <c r="D718" s="12"/>
      <c r="E718" s="18"/>
      <c r="F718" s="12"/>
      <c r="G718" s="12"/>
      <c r="H718" s="18"/>
      <c r="I718" s="18"/>
      <c r="J718" s="18"/>
    </row>
    <row r="719" customFormat="false" ht="15" hidden="false" customHeight="false" outlineLevel="0" collapsed="false">
      <c r="A719" s="18"/>
      <c r="B719" s="18"/>
      <c r="C719" s="12"/>
      <c r="D719" s="12"/>
      <c r="E719" s="18"/>
      <c r="F719" s="12"/>
      <c r="G719" s="12"/>
      <c r="H719" s="18"/>
      <c r="I719" s="18"/>
      <c r="J719" s="18"/>
    </row>
    <row r="720" customFormat="false" ht="15" hidden="false" customHeight="false" outlineLevel="0" collapsed="false">
      <c r="A720" s="18"/>
      <c r="B720" s="18"/>
      <c r="C720" s="12"/>
      <c r="D720" s="12"/>
      <c r="E720" s="18"/>
      <c r="F720" s="12"/>
      <c r="G720" s="12"/>
      <c r="H720" s="18"/>
      <c r="I720" s="18"/>
      <c r="J720" s="18"/>
    </row>
    <row r="721" customFormat="false" ht="15" hidden="false" customHeight="false" outlineLevel="0" collapsed="false">
      <c r="A721" s="18"/>
      <c r="B721" s="18"/>
      <c r="C721" s="12"/>
      <c r="D721" s="12"/>
      <c r="E721" s="18"/>
      <c r="F721" s="12"/>
      <c r="G721" s="12"/>
      <c r="H721" s="18"/>
      <c r="I721" s="18"/>
      <c r="J721" s="18"/>
    </row>
    <row r="722" customFormat="false" ht="15" hidden="false" customHeight="false" outlineLevel="0" collapsed="false">
      <c r="A722" s="18"/>
      <c r="B722" s="18"/>
      <c r="C722" s="12"/>
      <c r="D722" s="12"/>
      <c r="E722" s="18"/>
      <c r="F722" s="12"/>
      <c r="G722" s="12"/>
      <c r="H722" s="18"/>
      <c r="I722" s="18"/>
      <c r="J722" s="18"/>
    </row>
    <row r="723" customFormat="false" ht="15" hidden="false" customHeight="false" outlineLevel="0" collapsed="false">
      <c r="A723" s="18"/>
      <c r="B723" s="18"/>
      <c r="C723" s="12"/>
      <c r="D723" s="12"/>
      <c r="E723" s="18"/>
      <c r="F723" s="12"/>
      <c r="G723" s="12"/>
      <c r="H723" s="18"/>
      <c r="I723" s="18"/>
      <c r="J723" s="18"/>
    </row>
    <row r="724" customFormat="false" ht="15" hidden="false" customHeight="false" outlineLevel="0" collapsed="false">
      <c r="A724" s="18"/>
      <c r="B724" s="18"/>
      <c r="C724" s="12"/>
      <c r="D724" s="12"/>
      <c r="E724" s="18"/>
      <c r="F724" s="12"/>
      <c r="G724" s="12"/>
      <c r="H724" s="18"/>
      <c r="I724" s="18"/>
      <c r="J724" s="18"/>
    </row>
    <row r="725" customFormat="false" ht="15" hidden="false" customHeight="false" outlineLevel="0" collapsed="false">
      <c r="A725" s="18"/>
      <c r="B725" s="18"/>
      <c r="C725" s="12"/>
      <c r="D725" s="12"/>
      <c r="E725" s="18"/>
      <c r="F725" s="12"/>
      <c r="G725" s="12"/>
      <c r="H725" s="18"/>
      <c r="I725" s="18"/>
      <c r="J725" s="18"/>
    </row>
    <row r="726" customFormat="false" ht="15" hidden="false" customHeight="false" outlineLevel="0" collapsed="false">
      <c r="A726" s="18"/>
      <c r="B726" s="18"/>
      <c r="C726" s="12"/>
      <c r="D726" s="12"/>
      <c r="E726" s="18"/>
      <c r="F726" s="12"/>
      <c r="G726" s="12"/>
      <c r="H726" s="18"/>
      <c r="I726" s="18"/>
      <c r="J726" s="18"/>
    </row>
    <row r="727" customFormat="false" ht="15" hidden="false" customHeight="false" outlineLevel="0" collapsed="false">
      <c r="A727" s="18"/>
      <c r="B727" s="18"/>
      <c r="C727" s="12"/>
      <c r="D727" s="12"/>
      <c r="E727" s="18"/>
      <c r="F727" s="12"/>
      <c r="G727" s="12"/>
      <c r="H727" s="18"/>
      <c r="I727" s="18"/>
      <c r="J727" s="18"/>
    </row>
    <row r="728" customFormat="false" ht="15" hidden="false" customHeight="false" outlineLevel="0" collapsed="false">
      <c r="A728" s="18"/>
      <c r="B728" s="18"/>
      <c r="C728" s="12"/>
      <c r="D728" s="12"/>
      <c r="E728" s="18"/>
      <c r="F728" s="12"/>
      <c r="G728" s="12"/>
      <c r="H728" s="18"/>
      <c r="I728" s="18"/>
      <c r="J728" s="18"/>
    </row>
    <row r="729" customFormat="false" ht="15" hidden="false" customHeight="false" outlineLevel="0" collapsed="false">
      <c r="A729" s="18"/>
      <c r="B729" s="18"/>
      <c r="C729" s="12"/>
      <c r="D729" s="12"/>
      <c r="E729" s="18"/>
      <c r="F729" s="12"/>
      <c r="G729" s="12"/>
      <c r="H729" s="18"/>
      <c r="I729" s="18"/>
      <c r="J729" s="18"/>
    </row>
    <row r="730" customFormat="false" ht="15" hidden="false" customHeight="false" outlineLevel="0" collapsed="false">
      <c r="A730" s="18"/>
      <c r="B730" s="18"/>
      <c r="C730" s="12"/>
      <c r="D730" s="12"/>
      <c r="E730" s="18"/>
      <c r="F730" s="12"/>
      <c r="G730" s="12"/>
      <c r="H730" s="18"/>
      <c r="I730" s="18"/>
      <c r="J730" s="18"/>
    </row>
    <row r="731" customFormat="false" ht="15" hidden="false" customHeight="false" outlineLevel="0" collapsed="false">
      <c r="A731" s="18"/>
      <c r="B731" s="18"/>
      <c r="C731" s="12"/>
      <c r="D731" s="12"/>
      <c r="E731" s="18"/>
      <c r="F731" s="12"/>
      <c r="G731" s="12"/>
      <c r="H731" s="18"/>
      <c r="I731" s="18"/>
      <c r="J731" s="18"/>
    </row>
    <row r="732" customFormat="false" ht="15" hidden="false" customHeight="false" outlineLevel="0" collapsed="false">
      <c r="A732" s="18"/>
      <c r="B732" s="18"/>
      <c r="C732" s="12"/>
      <c r="D732" s="12"/>
      <c r="E732" s="18"/>
      <c r="F732" s="12"/>
      <c r="G732" s="12"/>
      <c r="H732" s="18"/>
      <c r="I732" s="18"/>
      <c r="J732" s="18"/>
    </row>
    <row r="733" customFormat="false" ht="15" hidden="false" customHeight="false" outlineLevel="0" collapsed="false">
      <c r="A733" s="18"/>
      <c r="B733" s="18"/>
      <c r="C733" s="12"/>
      <c r="D733" s="12"/>
      <c r="E733" s="18"/>
      <c r="F733" s="12"/>
      <c r="G733" s="12"/>
      <c r="H733" s="18"/>
      <c r="I733" s="18"/>
      <c r="J733" s="18"/>
    </row>
    <row r="734" customFormat="false" ht="15" hidden="false" customHeight="false" outlineLevel="0" collapsed="false">
      <c r="A734" s="18"/>
      <c r="B734" s="18"/>
      <c r="C734" s="12"/>
      <c r="D734" s="12"/>
      <c r="E734" s="18"/>
      <c r="F734" s="12"/>
      <c r="G734" s="12"/>
      <c r="H734" s="18"/>
      <c r="I734" s="18"/>
      <c r="J734" s="18"/>
    </row>
    <row r="735" customFormat="false" ht="15" hidden="false" customHeight="false" outlineLevel="0" collapsed="false">
      <c r="A735" s="18"/>
      <c r="B735" s="18"/>
      <c r="C735" s="12"/>
      <c r="D735" s="12"/>
      <c r="E735" s="18"/>
      <c r="F735" s="12"/>
      <c r="G735" s="12"/>
      <c r="H735" s="18"/>
      <c r="I735" s="18"/>
      <c r="J735" s="18"/>
    </row>
    <row r="736" customFormat="false" ht="15" hidden="false" customHeight="false" outlineLevel="0" collapsed="false">
      <c r="A736" s="18"/>
      <c r="B736" s="18"/>
      <c r="C736" s="12"/>
      <c r="D736" s="12"/>
      <c r="E736" s="18"/>
      <c r="F736" s="12"/>
      <c r="G736" s="12"/>
      <c r="H736" s="18"/>
      <c r="I736" s="18"/>
      <c r="J736" s="18"/>
    </row>
    <row r="737" customFormat="false" ht="15" hidden="false" customHeight="false" outlineLevel="0" collapsed="false">
      <c r="A737" s="18"/>
      <c r="B737" s="18"/>
      <c r="C737" s="12"/>
      <c r="D737" s="12"/>
      <c r="E737" s="18"/>
      <c r="F737" s="12"/>
      <c r="G737" s="12"/>
      <c r="H737" s="18"/>
      <c r="I737" s="18"/>
      <c r="J737" s="18"/>
    </row>
    <row r="738" customFormat="false" ht="15" hidden="false" customHeight="false" outlineLevel="0" collapsed="false">
      <c r="A738" s="18"/>
      <c r="B738" s="18"/>
      <c r="C738" s="12"/>
      <c r="D738" s="12"/>
      <c r="E738" s="18"/>
      <c r="F738" s="12"/>
      <c r="G738" s="12"/>
      <c r="H738" s="18"/>
      <c r="I738" s="18"/>
      <c r="J738" s="18"/>
    </row>
    <row r="739" customFormat="false" ht="15" hidden="false" customHeight="false" outlineLevel="0" collapsed="false">
      <c r="A739" s="18"/>
      <c r="B739" s="18"/>
      <c r="C739" s="12"/>
      <c r="D739" s="12"/>
      <c r="E739" s="18"/>
      <c r="F739" s="12"/>
      <c r="G739" s="12"/>
      <c r="H739" s="18"/>
      <c r="I739" s="18"/>
      <c r="J739" s="18"/>
    </row>
    <row r="740" customFormat="false" ht="15" hidden="false" customHeight="false" outlineLevel="0" collapsed="false">
      <c r="A740" s="18"/>
      <c r="B740" s="18"/>
      <c r="C740" s="12"/>
      <c r="D740" s="12"/>
      <c r="E740" s="18"/>
      <c r="F740" s="12"/>
      <c r="G740" s="12"/>
      <c r="H740" s="18"/>
      <c r="I740" s="18"/>
      <c r="J740" s="18"/>
    </row>
    <row r="741" customFormat="false" ht="15" hidden="false" customHeight="false" outlineLevel="0" collapsed="false">
      <c r="A741" s="18"/>
      <c r="B741" s="18"/>
      <c r="C741" s="12"/>
      <c r="D741" s="12"/>
      <c r="E741" s="18"/>
      <c r="F741" s="12"/>
      <c r="G741" s="12"/>
      <c r="H741" s="18"/>
      <c r="I741" s="18"/>
      <c r="J741" s="18"/>
    </row>
    <row r="742" customFormat="false" ht="15" hidden="false" customHeight="false" outlineLevel="0" collapsed="false">
      <c r="A742" s="18"/>
      <c r="B742" s="18"/>
      <c r="C742" s="12"/>
      <c r="D742" s="12"/>
      <c r="E742" s="18"/>
      <c r="F742" s="12"/>
      <c r="G742" s="12"/>
      <c r="H742" s="18"/>
      <c r="I742" s="18"/>
      <c r="J742" s="18"/>
    </row>
    <row r="743" customFormat="false" ht="15" hidden="false" customHeight="false" outlineLevel="0" collapsed="false">
      <c r="A743" s="18"/>
      <c r="B743" s="18"/>
      <c r="C743" s="12"/>
      <c r="D743" s="12"/>
      <c r="E743" s="18"/>
      <c r="F743" s="12"/>
      <c r="G743" s="12"/>
      <c r="H743" s="18"/>
      <c r="I743" s="18"/>
      <c r="J743" s="18"/>
    </row>
    <row r="744" customFormat="false" ht="15" hidden="false" customHeight="false" outlineLevel="0" collapsed="false">
      <c r="A744" s="18"/>
      <c r="B744" s="18"/>
      <c r="C744" s="12"/>
      <c r="D744" s="12"/>
      <c r="E744" s="18"/>
      <c r="F744" s="12"/>
      <c r="G744" s="12"/>
      <c r="H744" s="18"/>
      <c r="I744" s="18"/>
      <c r="J744" s="18"/>
    </row>
    <row r="745" customFormat="false" ht="15" hidden="false" customHeight="false" outlineLevel="0" collapsed="false">
      <c r="A745" s="18"/>
      <c r="B745" s="18"/>
      <c r="C745" s="12"/>
      <c r="D745" s="12"/>
      <c r="E745" s="18"/>
      <c r="F745" s="12"/>
      <c r="G745" s="12"/>
      <c r="H745" s="18"/>
      <c r="I745" s="18"/>
      <c r="J745" s="18"/>
    </row>
    <row r="746" customFormat="false" ht="15" hidden="false" customHeight="false" outlineLevel="0" collapsed="false">
      <c r="A746" s="18"/>
      <c r="B746" s="18"/>
      <c r="C746" s="12"/>
      <c r="D746" s="12"/>
      <c r="E746" s="18"/>
      <c r="F746" s="12"/>
      <c r="G746" s="12"/>
      <c r="H746" s="18"/>
      <c r="I746" s="18"/>
      <c r="J746" s="18"/>
    </row>
    <row r="747" customFormat="false" ht="15" hidden="false" customHeight="false" outlineLevel="0" collapsed="false">
      <c r="A747" s="18"/>
      <c r="B747" s="18"/>
      <c r="C747" s="12"/>
      <c r="D747" s="12"/>
      <c r="E747" s="18"/>
      <c r="F747" s="12"/>
      <c r="G747" s="12"/>
      <c r="H747" s="18"/>
      <c r="I747" s="18"/>
      <c r="J747" s="18"/>
    </row>
    <row r="748" customFormat="false" ht="15" hidden="false" customHeight="false" outlineLevel="0" collapsed="false">
      <c r="A748" s="18"/>
      <c r="B748" s="18"/>
      <c r="C748" s="12"/>
      <c r="D748" s="12"/>
      <c r="E748" s="18"/>
      <c r="F748" s="12"/>
      <c r="G748" s="12"/>
      <c r="H748" s="18"/>
      <c r="I748" s="18"/>
      <c r="J748" s="18"/>
    </row>
    <row r="749" customFormat="false" ht="15" hidden="false" customHeight="false" outlineLevel="0" collapsed="false">
      <c r="A749" s="18"/>
      <c r="B749" s="18"/>
      <c r="C749" s="12"/>
      <c r="D749" s="12"/>
      <c r="E749" s="18"/>
      <c r="F749" s="12"/>
      <c r="G749" s="12"/>
      <c r="H749" s="18"/>
      <c r="I749" s="18"/>
      <c r="J749" s="18"/>
    </row>
    <row r="750" customFormat="false" ht="15" hidden="false" customHeight="false" outlineLevel="0" collapsed="false">
      <c r="A750" s="18"/>
      <c r="B750" s="18"/>
      <c r="C750" s="12"/>
      <c r="D750" s="12"/>
      <c r="E750" s="18"/>
      <c r="F750" s="12"/>
      <c r="G750" s="12"/>
      <c r="H750" s="18"/>
      <c r="I750" s="18"/>
      <c r="J750" s="18"/>
    </row>
    <row r="751" customFormat="false" ht="15" hidden="false" customHeight="false" outlineLevel="0" collapsed="false">
      <c r="A751" s="18"/>
      <c r="B751" s="18"/>
      <c r="C751" s="12"/>
      <c r="D751" s="12"/>
      <c r="E751" s="18"/>
      <c r="F751" s="12"/>
      <c r="G751" s="12"/>
      <c r="H751" s="18"/>
      <c r="I751" s="18"/>
      <c r="J751" s="18"/>
    </row>
    <row r="752" customFormat="false" ht="15" hidden="false" customHeight="false" outlineLevel="0" collapsed="false">
      <c r="A752" s="18"/>
      <c r="B752" s="18"/>
      <c r="C752" s="12"/>
      <c r="D752" s="12"/>
      <c r="E752" s="18"/>
      <c r="F752" s="12"/>
      <c r="G752" s="12"/>
      <c r="H752" s="18"/>
      <c r="I752" s="18"/>
      <c r="J752" s="18"/>
    </row>
    <row r="753" customFormat="false" ht="15" hidden="false" customHeight="false" outlineLevel="0" collapsed="false">
      <c r="A753" s="18"/>
      <c r="B753" s="18"/>
      <c r="C753" s="12"/>
      <c r="D753" s="12"/>
      <c r="E753" s="18"/>
      <c r="F753" s="12"/>
      <c r="G753" s="12"/>
      <c r="H753" s="18"/>
      <c r="I753" s="18"/>
      <c r="J753" s="18"/>
    </row>
    <row r="754" customFormat="false" ht="15" hidden="false" customHeight="false" outlineLevel="0" collapsed="false">
      <c r="A754" s="18"/>
      <c r="B754" s="18"/>
      <c r="C754" s="12"/>
      <c r="D754" s="12"/>
      <c r="E754" s="18"/>
      <c r="F754" s="12"/>
      <c r="G754" s="12"/>
      <c r="H754" s="18"/>
      <c r="I754" s="18"/>
      <c r="J754" s="18"/>
    </row>
    <row r="755" customFormat="false" ht="15" hidden="false" customHeight="false" outlineLevel="0" collapsed="false">
      <c r="A755" s="18"/>
      <c r="B755" s="18"/>
      <c r="C755" s="12"/>
      <c r="D755" s="12"/>
      <c r="E755" s="18"/>
      <c r="F755" s="12"/>
      <c r="G755" s="12"/>
      <c r="H755" s="18"/>
      <c r="I755" s="18"/>
      <c r="J755" s="18"/>
    </row>
    <row r="756" customFormat="false" ht="15" hidden="false" customHeight="false" outlineLevel="0" collapsed="false">
      <c r="A756" s="18"/>
      <c r="B756" s="18"/>
      <c r="C756" s="12"/>
      <c r="D756" s="12"/>
      <c r="E756" s="18"/>
      <c r="F756" s="12"/>
      <c r="G756" s="12"/>
      <c r="H756" s="18"/>
      <c r="I756" s="18"/>
      <c r="J756" s="18"/>
    </row>
    <row r="757" customFormat="false" ht="15" hidden="false" customHeight="false" outlineLevel="0" collapsed="false">
      <c r="A757" s="18"/>
      <c r="B757" s="18"/>
      <c r="C757" s="12"/>
      <c r="D757" s="12"/>
      <c r="E757" s="18"/>
      <c r="F757" s="12"/>
      <c r="G757" s="12"/>
      <c r="H757" s="18"/>
      <c r="I757" s="18"/>
      <c r="J757" s="18"/>
    </row>
    <row r="758" customFormat="false" ht="15" hidden="false" customHeight="false" outlineLevel="0" collapsed="false">
      <c r="A758" s="18"/>
      <c r="B758" s="18"/>
      <c r="C758" s="12"/>
      <c r="D758" s="12"/>
      <c r="E758" s="18"/>
      <c r="F758" s="12"/>
      <c r="G758" s="12"/>
      <c r="H758" s="18"/>
      <c r="I758" s="18"/>
      <c r="J758" s="18"/>
    </row>
    <row r="759" customFormat="false" ht="15" hidden="false" customHeight="false" outlineLevel="0" collapsed="false">
      <c r="A759" s="18"/>
      <c r="B759" s="18"/>
      <c r="C759" s="12"/>
      <c r="D759" s="12"/>
      <c r="E759" s="18"/>
      <c r="F759" s="12"/>
      <c r="G759" s="12"/>
      <c r="H759" s="18"/>
      <c r="I759" s="18"/>
      <c r="J759" s="18"/>
    </row>
    <row r="760" customFormat="false" ht="15" hidden="false" customHeight="false" outlineLevel="0" collapsed="false">
      <c r="A760" s="18"/>
      <c r="B760" s="18"/>
      <c r="C760" s="12"/>
      <c r="D760" s="12"/>
      <c r="E760" s="18"/>
      <c r="F760" s="12"/>
      <c r="G760" s="12"/>
      <c r="H760" s="18"/>
      <c r="I760" s="18"/>
      <c r="J760" s="18"/>
    </row>
    <row r="761" customFormat="false" ht="15" hidden="false" customHeight="false" outlineLevel="0" collapsed="false">
      <c r="A761" s="18"/>
      <c r="B761" s="18"/>
      <c r="C761" s="12"/>
      <c r="D761" s="12"/>
      <c r="E761" s="18"/>
      <c r="F761" s="12"/>
      <c r="G761" s="12"/>
      <c r="H761" s="18"/>
      <c r="I761" s="18"/>
      <c r="J761" s="18"/>
    </row>
    <row r="762" customFormat="false" ht="15" hidden="false" customHeight="false" outlineLevel="0" collapsed="false">
      <c r="A762" s="18"/>
      <c r="B762" s="18"/>
      <c r="C762" s="12"/>
      <c r="D762" s="12"/>
      <c r="E762" s="18"/>
      <c r="F762" s="12"/>
      <c r="G762" s="12"/>
      <c r="H762" s="18"/>
      <c r="I762" s="18"/>
      <c r="J762" s="18"/>
    </row>
    <row r="763" customFormat="false" ht="15" hidden="false" customHeight="false" outlineLevel="0" collapsed="false">
      <c r="A763" s="18"/>
      <c r="B763" s="18"/>
      <c r="C763" s="12"/>
      <c r="D763" s="12"/>
      <c r="E763" s="18"/>
      <c r="F763" s="12"/>
      <c r="G763" s="12"/>
      <c r="H763" s="18"/>
      <c r="I763" s="18"/>
      <c r="J763" s="18"/>
    </row>
    <row r="764" customFormat="false" ht="15" hidden="false" customHeight="false" outlineLevel="0" collapsed="false">
      <c r="A764" s="18"/>
      <c r="B764" s="18"/>
      <c r="C764" s="12"/>
      <c r="D764" s="12"/>
      <c r="E764" s="18"/>
      <c r="F764" s="12"/>
      <c r="G764" s="12"/>
      <c r="H764" s="18"/>
      <c r="I764" s="18"/>
      <c r="J764" s="18"/>
    </row>
    <row r="765" customFormat="false" ht="15" hidden="false" customHeight="false" outlineLevel="0" collapsed="false">
      <c r="A765" s="18"/>
      <c r="B765" s="18"/>
      <c r="C765" s="12"/>
      <c r="D765" s="12"/>
      <c r="E765" s="18"/>
      <c r="F765" s="12"/>
      <c r="G765" s="12"/>
      <c r="H765" s="18"/>
      <c r="I765" s="18"/>
      <c r="J765" s="18"/>
    </row>
    <row r="766" customFormat="false" ht="15" hidden="false" customHeight="false" outlineLevel="0" collapsed="false">
      <c r="A766" s="18"/>
      <c r="B766" s="18"/>
      <c r="C766" s="12"/>
      <c r="D766" s="12"/>
      <c r="E766" s="18"/>
      <c r="F766" s="12"/>
      <c r="G766" s="12"/>
      <c r="H766" s="18"/>
      <c r="I766" s="18"/>
      <c r="J766" s="18"/>
    </row>
    <row r="767" customFormat="false" ht="15" hidden="false" customHeight="false" outlineLevel="0" collapsed="false">
      <c r="A767" s="18"/>
      <c r="B767" s="18"/>
      <c r="C767" s="12"/>
      <c r="D767" s="12"/>
      <c r="E767" s="18"/>
      <c r="F767" s="12"/>
      <c r="G767" s="12"/>
      <c r="H767" s="18"/>
      <c r="I767" s="18"/>
      <c r="J767" s="18"/>
    </row>
    <row r="768" customFormat="false" ht="15" hidden="false" customHeight="false" outlineLevel="0" collapsed="false">
      <c r="A768" s="18"/>
      <c r="B768" s="18"/>
      <c r="C768" s="12"/>
      <c r="D768" s="12"/>
      <c r="E768" s="18"/>
      <c r="F768" s="12"/>
      <c r="G768" s="12"/>
      <c r="H768" s="18"/>
      <c r="I768" s="18"/>
      <c r="J768" s="18"/>
    </row>
    <row r="769" customFormat="false" ht="15" hidden="false" customHeight="false" outlineLevel="0" collapsed="false">
      <c r="A769" s="18"/>
      <c r="B769" s="18"/>
      <c r="C769" s="12"/>
      <c r="D769" s="12"/>
      <c r="E769" s="18"/>
      <c r="F769" s="12"/>
      <c r="G769" s="12"/>
      <c r="H769" s="18"/>
      <c r="I769" s="18"/>
      <c r="J769" s="18"/>
    </row>
    <row r="770" customFormat="false" ht="15" hidden="false" customHeight="false" outlineLevel="0" collapsed="false">
      <c r="A770" s="18"/>
      <c r="B770" s="18"/>
      <c r="C770" s="12"/>
      <c r="D770" s="12"/>
      <c r="E770" s="18"/>
      <c r="F770" s="12"/>
      <c r="G770" s="12"/>
      <c r="H770" s="18"/>
      <c r="I770" s="18"/>
      <c r="J770" s="18"/>
    </row>
    <row r="771" customFormat="false" ht="15" hidden="false" customHeight="false" outlineLevel="0" collapsed="false">
      <c r="A771" s="18"/>
      <c r="B771" s="18"/>
      <c r="C771" s="12"/>
      <c r="D771" s="12"/>
      <c r="E771" s="18"/>
      <c r="F771" s="12"/>
      <c r="G771" s="12"/>
      <c r="H771" s="18"/>
      <c r="I771" s="18"/>
      <c r="J771" s="18"/>
    </row>
    <row r="772" customFormat="false" ht="15" hidden="false" customHeight="false" outlineLevel="0" collapsed="false">
      <c r="A772" s="18"/>
      <c r="B772" s="18"/>
      <c r="C772" s="12"/>
      <c r="D772" s="12"/>
      <c r="E772" s="18"/>
      <c r="F772" s="12"/>
      <c r="G772" s="12"/>
      <c r="H772" s="18"/>
      <c r="I772" s="18"/>
      <c r="J772" s="18"/>
    </row>
    <row r="773" customFormat="false" ht="15" hidden="false" customHeight="false" outlineLevel="0" collapsed="false">
      <c r="A773" s="18"/>
      <c r="B773" s="18"/>
      <c r="C773" s="12"/>
      <c r="D773" s="12"/>
      <c r="E773" s="18"/>
      <c r="F773" s="12"/>
      <c r="G773" s="12"/>
      <c r="H773" s="18"/>
      <c r="I773" s="18"/>
      <c r="J773" s="18"/>
    </row>
    <row r="774" customFormat="false" ht="15" hidden="false" customHeight="false" outlineLevel="0" collapsed="false">
      <c r="A774" s="18"/>
      <c r="B774" s="18"/>
      <c r="C774" s="12"/>
      <c r="D774" s="12"/>
      <c r="E774" s="18"/>
      <c r="F774" s="12"/>
      <c r="G774" s="12"/>
      <c r="H774" s="18"/>
      <c r="I774" s="18"/>
      <c r="J774" s="18"/>
    </row>
    <row r="775" customFormat="false" ht="15" hidden="false" customHeight="false" outlineLevel="0" collapsed="false">
      <c r="A775" s="18"/>
      <c r="B775" s="18"/>
      <c r="C775" s="12"/>
      <c r="D775" s="12"/>
      <c r="E775" s="18"/>
      <c r="F775" s="12"/>
      <c r="G775" s="12"/>
      <c r="H775" s="18"/>
      <c r="I775" s="18"/>
      <c r="J775" s="18"/>
    </row>
    <row r="776" customFormat="false" ht="15" hidden="false" customHeight="false" outlineLevel="0" collapsed="false">
      <c r="A776" s="18"/>
      <c r="B776" s="18"/>
      <c r="C776" s="12"/>
      <c r="D776" s="12"/>
      <c r="E776" s="18"/>
      <c r="F776" s="12"/>
      <c r="G776" s="12"/>
      <c r="H776" s="18"/>
      <c r="I776" s="18"/>
      <c r="J776" s="18"/>
    </row>
    <row r="777" customFormat="false" ht="15" hidden="false" customHeight="false" outlineLevel="0" collapsed="false">
      <c r="A777" s="18"/>
      <c r="B777" s="18"/>
      <c r="C777" s="12"/>
      <c r="D777" s="12"/>
      <c r="E777" s="18"/>
      <c r="F777" s="12"/>
      <c r="G777" s="12"/>
      <c r="H777" s="18"/>
      <c r="I777" s="18"/>
      <c r="J777" s="18"/>
    </row>
    <row r="778" customFormat="false" ht="15" hidden="false" customHeight="false" outlineLevel="0" collapsed="false">
      <c r="A778" s="18"/>
      <c r="B778" s="18"/>
      <c r="C778" s="12"/>
      <c r="D778" s="12"/>
      <c r="E778" s="18"/>
      <c r="F778" s="12"/>
      <c r="G778" s="12"/>
      <c r="H778" s="18"/>
      <c r="I778" s="18"/>
      <c r="J778" s="18"/>
    </row>
    <row r="779" customFormat="false" ht="15" hidden="false" customHeight="false" outlineLevel="0" collapsed="false">
      <c r="A779" s="18"/>
      <c r="B779" s="18"/>
      <c r="C779" s="12"/>
      <c r="D779" s="12"/>
      <c r="E779" s="18"/>
      <c r="F779" s="12"/>
      <c r="G779" s="12"/>
      <c r="H779" s="18"/>
      <c r="I779" s="18"/>
      <c r="J779" s="18"/>
    </row>
    <row r="780" customFormat="false" ht="15" hidden="false" customHeight="false" outlineLevel="0" collapsed="false">
      <c r="A780" s="18"/>
      <c r="B780" s="18"/>
      <c r="C780" s="12"/>
      <c r="D780" s="12"/>
      <c r="E780" s="18"/>
      <c r="F780" s="12"/>
      <c r="G780" s="12"/>
      <c r="H780" s="18"/>
      <c r="I780" s="18"/>
      <c r="J780" s="18"/>
    </row>
    <row r="781" customFormat="false" ht="15" hidden="false" customHeight="false" outlineLevel="0" collapsed="false">
      <c r="A781" s="18"/>
      <c r="B781" s="18"/>
      <c r="C781" s="12"/>
      <c r="D781" s="12"/>
      <c r="E781" s="18"/>
      <c r="F781" s="12"/>
      <c r="G781" s="12"/>
      <c r="H781" s="18"/>
      <c r="I781" s="18"/>
      <c r="J781" s="18"/>
    </row>
    <row r="782" customFormat="false" ht="15" hidden="false" customHeight="false" outlineLevel="0" collapsed="false">
      <c r="A782" s="18"/>
      <c r="B782" s="18"/>
      <c r="C782" s="12"/>
      <c r="D782" s="12"/>
      <c r="E782" s="18"/>
      <c r="F782" s="12"/>
      <c r="G782" s="12"/>
      <c r="H782" s="18"/>
      <c r="I782" s="18"/>
      <c r="J782" s="18"/>
    </row>
    <row r="783" customFormat="false" ht="15" hidden="false" customHeight="false" outlineLevel="0" collapsed="false">
      <c r="A783" s="18"/>
      <c r="B783" s="18"/>
      <c r="C783" s="12"/>
      <c r="D783" s="12"/>
      <c r="E783" s="18"/>
      <c r="F783" s="12"/>
      <c r="G783" s="12"/>
      <c r="H783" s="18"/>
      <c r="I783" s="18"/>
      <c r="J783" s="18"/>
    </row>
    <row r="784" customFormat="false" ht="15" hidden="false" customHeight="false" outlineLevel="0" collapsed="false">
      <c r="A784" s="18"/>
      <c r="B784" s="18"/>
      <c r="C784" s="12"/>
      <c r="D784" s="12"/>
      <c r="E784" s="18"/>
      <c r="F784" s="12"/>
      <c r="G784" s="12"/>
      <c r="H784" s="18"/>
      <c r="I784" s="18"/>
      <c r="J784" s="18"/>
    </row>
    <row r="785" customFormat="false" ht="15" hidden="false" customHeight="false" outlineLevel="0" collapsed="false">
      <c r="A785" s="18"/>
      <c r="B785" s="18"/>
      <c r="C785" s="12"/>
      <c r="D785" s="12"/>
      <c r="E785" s="18"/>
      <c r="F785" s="12"/>
      <c r="G785" s="12"/>
      <c r="H785" s="18"/>
      <c r="I785" s="18"/>
      <c r="J785" s="18"/>
    </row>
    <row r="786" customFormat="false" ht="15" hidden="false" customHeight="false" outlineLevel="0" collapsed="false">
      <c r="A786" s="18"/>
      <c r="B786" s="18"/>
      <c r="C786" s="12"/>
      <c r="D786" s="12"/>
      <c r="E786" s="18"/>
      <c r="F786" s="12"/>
      <c r="G786" s="12"/>
      <c r="H786" s="18"/>
      <c r="I786" s="18"/>
      <c r="J786" s="18"/>
    </row>
    <row r="787" customFormat="false" ht="15" hidden="false" customHeight="false" outlineLevel="0" collapsed="false">
      <c r="A787" s="18"/>
      <c r="B787" s="18"/>
      <c r="C787" s="12"/>
      <c r="D787" s="12"/>
      <c r="E787" s="18"/>
      <c r="F787" s="12"/>
      <c r="G787" s="12"/>
      <c r="H787" s="18"/>
      <c r="I787" s="18"/>
      <c r="J787" s="18"/>
    </row>
    <row r="788" customFormat="false" ht="15" hidden="false" customHeight="false" outlineLevel="0" collapsed="false">
      <c r="A788" s="18"/>
      <c r="B788" s="18"/>
      <c r="C788" s="12"/>
      <c r="D788" s="12"/>
      <c r="E788" s="18"/>
      <c r="F788" s="12"/>
      <c r="G788" s="12"/>
      <c r="H788" s="18"/>
      <c r="I788" s="18"/>
      <c r="J788" s="18"/>
    </row>
    <row r="789" customFormat="false" ht="15" hidden="false" customHeight="false" outlineLevel="0" collapsed="false">
      <c r="A789" s="18"/>
      <c r="B789" s="18"/>
      <c r="C789" s="12"/>
      <c r="D789" s="12"/>
      <c r="E789" s="18"/>
      <c r="F789" s="12"/>
      <c r="G789" s="12"/>
      <c r="H789" s="18"/>
      <c r="I789" s="18"/>
      <c r="J789" s="18"/>
    </row>
    <row r="790" customFormat="false" ht="15" hidden="false" customHeight="false" outlineLevel="0" collapsed="false">
      <c r="A790" s="18"/>
      <c r="B790" s="18"/>
      <c r="C790" s="12"/>
      <c r="D790" s="12"/>
      <c r="E790" s="18"/>
      <c r="F790" s="12"/>
      <c r="G790" s="12"/>
      <c r="H790" s="18"/>
      <c r="I790" s="18"/>
      <c r="J790" s="18"/>
    </row>
    <row r="791" customFormat="false" ht="15" hidden="false" customHeight="false" outlineLevel="0" collapsed="false">
      <c r="A791" s="18"/>
      <c r="B791" s="18"/>
      <c r="C791" s="12"/>
      <c r="D791" s="12"/>
      <c r="E791" s="18"/>
      <c r="F791" s="12"/>
      <c r="G791" s="12"/>
      <c r="H791" s="18"/>
      <c r="I791" s="18"/>
      <c r="J791" s="18"/>
    </row>
    <row r="792" customFormat="false" ht="15" hidden="false" customHeight="false" outlineLevel="0" collapsed="false">
      <c r="A792" s="18"/>
      <c r="B792" s="18"/>
      <c r="C792" s="12"/>
      <c r="D792" s="12"/>
      <c r="E792" s="18"/>
      <c r="F792" s="12"/>
      <c r="G792" s="12"/>
      <c r="H792" s="18"/>
      <c r="I792" s="18"/>
      <c r="J792" s="18"/>
    </row>
    <row r="793" customFormat="false" ht="15" hidden="false" customHeight="false" outlineLevel="0" collapsed="false">
      <c r="A793" s="18"/>
      <c r="B793" s="18"/>
      <c r="C793" s="12"/>
      <c r="D793" s="12"/>
      <c r="E793" s="18"/>
      <c r="F793" s="12"/>
      <c r="G793" s="12"/>
      <c r="H793" s="18"/>
      <c r="I793" s="18"/>
      <c r="J793" s="18"/>
    </row>
    <row r="794" customFormat="false" ht="15" hidden="false" customHeight="false" outlineLevel="0" collapsed="false">
      <c r="A794" s="18"/>
      <c r="B794" s="18"/>
      <c r="C794" s="12"/>
      <c r="D794" s="12"/>
      <c r="E794" s="18"/>
      <c r="F794" s="12"/>
      <c r="G794" s="12"/>
      <c r="H794" s="18"/>
      <c r="I794" s="18"/>
      <c r="J794" s="18"/>
    </row>
    <row r="795" customFormat="false" ht="15" hidden="false" customHeight="false" outlineLevel="0" collapsed="false">
      <c r="A795" s="18"/>
      <c r="B795" s="18"/>
      <c r="C795" s="12"/>
      <c r="D795" s="12"/>
      <c r="E795" s="18"/>
      <c r="F795" s="12"/>
      <c r="G795" s="12"/>
      <c r="H795" s="18"/>
      <c r="I795" s="18"/>
      <c r="J795" s="18"/>
    </row>
    <row r="796" customFormat="false" ht="15" hidden="false" customHeight="false" outlineLevel="0" collapsed="false">
      <c r="A796" s="18"/>
      <c r="B796" s="18"/>
      <c r="C796" s="12"/>
      <c r="D796" s="12"/>
      <c r="E796" s="18"/>
      <c r="F796" s="12"/>
      <c r="G796" s="12"/>
      <c r="H796" s="18"/>
      <c r="I796" s="18"/>
      <c r="J796" s="18"/>
    </row>
    <row r="797" customFormat="false" ht="15" hidden="false" customHeight="false" outlineLevel="0" collapsed="false">
      <c r="A797" s="18"/>
      <c r="B797" s="18"/>
      <c r="C797" s="12"/>
      <c r="D797" s="12"/>
      <c r="E797" s="18"/>
      <c r="F797" s="12"/>
      <c r="G797" s="12"/>
      <c r="H797" s="18"/>
      <c r="I797" s="18"/>
      <c r="J797" s="18"/>
    </row>
    <row r="798" customFormat="false" ht="15" hidden="false" customHeight="false" outlineLevel="0" collapsed="false">
      <c r="A798" s="18"/>
      <c r="B798" s="18"/>
      <c r="C798" s="12"/>
      <c r="D798" s="12"/>
      <c r="E798" s="18"/>
      <c r="F798" s="12"/>
      <c r="G798" s="12"/>
      <c r="H798" s="18"/>
      <c r="I798" s="18"/>
      <c r="J798" s="18"/>
    </row>
    <row r="799" customFormat="false" ht="15" hidden="false" customHeight="false" outlineLevel="0" collapsed="false">
      <c r="A799" s="18"/>
      <c r="B799" s="18"/>
      <c r="C799" s="12"/>
      <c r="D799" s="12"/>
      <c r="E799" s="18"/>
      <c r="F799" s="12"/>
      <c r="G799" s="12"/>
      <c r="H799" s="18"/>
      <c r="I799" s="18"/>
      <c r="J799" s="18"/>
    </row>
    <row r="800" customFormat="false" ht="15" hidden="false" customHeight="false" outlineLevel="0" collapsed="false">
      <c r="A800" s="18"/>
      <c r="B800" s="18"/>
      <c r="C800" s="12"/>
      <c r="D800" s="12"/>
      <c r="E800" s="18"/>
      <c r="F800" s="12"/>
      <c r="G800" s="12"/>
      <c r="H800" s="18"/>
      <c r="I800" s="18"/>
      <c r="J800" s="18"/>
    </row>
  </sheetData>
  <dataValidations count="4">
    <dataValidation allowBlank="true" errorStyle="stop" operator="between" showDropDown="false" showErrorMessage="false" showInputMessage="false" sqref="C4:C800" type="list">
      <formula1>"E1,E2,E3,E4,E5,E6,E7,E8,E9"</formula1>
      <formula2>0</formula2>
    </dataValidation>
    <dataValidation allowBlank="true" errorStyle="stop" operator="between" showDropDown="false" showErrorMessage="false" showInputMessage="false" sqref="D4:D800" type="list">
      <formula1>"L1,L2,L3,L4,C1,C2"</formula1>
      <formula2>0</formula2>
    </dataValidation>
    <dataValidation allowBlank="true" errorStyle="stop" operator="between" showDropDown="false" showErrorMessage="false" showInputMessage="false" sqref="F4:F800" type="list">
      <formula1>"命中,未命中"</formula1>
      <formula2>0</formula2>
    </dataValidation>
    <dataValidation allowBlank="true" errorStyle="stop" operator="between" showDropDown="false" showErrorMessage="false" showInputMessage="false" sqref="G4:G800" type="list">
      <formula1>"1,0.5,0"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30"/>
    <col collapsed="false" customWidth="true" hidden="false" outlineLevel="0" max="9" min="8" style="0" width="40"/>
    <col collapsed="false" customWidth="true" hidden="false" outlineLevel="0" max="11" min="10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6" min="14" style="0" width="10"/>
    <col collapsed="false" customWidth="true" hidden="false" outlineLevel="0" max="17" min="17" style="0" width="20"/>
  </cols>
  <sheetData>
    <row r="1" customFormat="false" ht="20.1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3" customFormat="false" ht="30" hidden="false" customHeight="true" outlineLevel="0" collapsed="false">
      <c r="A3" s="8" t="s">
        <v>161</v>
      </c>
      <c r="B3" s="9" t="s">
        <v>165</v>
      </c>
      <c r="C3" s="8" t="s">
        <v>164</v>
      </c>
      <c r="D3" s="8" t="s">
        <v>317</v>
      </c>
      <c r="E3" s="9" t="s">
        <v>318</v>
      </c>
      <c r="F3" s="9" t="s">
        <v>319</v>
      </c>
      <c r="G3" s="9" t="s">
        <v>320</v>
      </c>
      <c r="H3" s="9" t="s">
        <v>321</v>
      </c>
      <c r="I3" s="9" t="s">
        <v>322</v>
      </c>
      <c r="J3" s="9" t="s">
        <v>323</v>
      </c>
      <c r="K3" s="8" t="s">
        <v>312</v>
      </c>
      <c r="L3" s="8" t="s">
        <v>324</v>
      </c>
      <c r="M3" s="8" t="s">
        <v>325</v>
      </c>
      <c r="N3" s="8" t="s">
        <v>326</v>
      </c>
      <c r="O3" s="8" t="s">
        <v>327</v>
      </c>
      <c r="P3" s="8" t="s">
        <v>328</v>
      </c>
      <c r="Q3" s="8" t="s">
        <v>60</v>
      </c>
    </row>
    <row r="4" customFormat="false" ht="29.85" hidden="false" customHeight="false" outlineLevel="0" collapsed="false">
      <c r="A4" s="11" t="s">
        <v>177</v>
      </c>
      <c r="B4" s="10" t="n">
        <v>1</v>
      </c>
      <c r="C4" s="11" t="s">
        <v>180</v>
      </c>
      <c r="D4" s="10" t="n">
        <v>1</v>
      </c>
      <c r="E4" s="11" t="s">
        <v>329</v>
      </c>
      <c r="F4" s="10" t="s">
        <v>330</v>
      </c>
      <c r="G4" s="13" t="s">
        <v>195</v>
      </c>
      <c r="H4" s="13" t="s">
        <v>331</v>
      </c>
      <c r="I4" s="13" t="s">
        <v>332</v>
      </c>
      <c r="J4" s="10" t="n">
        <v>74</v>
      </c>
      <c r="K4" s="11" t="s">
        <v>68</v>
      </c>
      <c r="L4" s="11" t="n">
        <v>1</v>
      </c>
      <c r="M4" s="11" t="s">
        <v>333</v>
      </c>
      <c r="N4" s="11" t="n">
        <v>2</v>
      </c>
      <c r="O4" s="11" t="n">
        <v>0</v>
      </c>
      <c r="P4" s="11" t="n">
        <v>0</v>
      </c>
      <c r="Q4" s="10" t="s">
        <v>69</v>
      </c>
    </row>
    <row r="5" customFormat="false" ht="15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2"/>
      <c r="M5" s="18"/>
      <c r="N5" s="12"/>
      <c r="O5" s="12"/>
      <c r="P5" s="12"/>
      <c r="Q5" s="18"/>
    </row>
    <row r="6" customFormat="false" ht="15" hidden="false" customHeight="fals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2"/>
      <c r="M6" s="18"/>
      <c r="N6" s="12"/>
      <c r="O6" s="12"/>
      <c r="P6" s="12"/>
      <c r="Q6" s="18"/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2"/>
      <c r="M7" s="18"/>
      <c r="N7" s="12"/>
      <c r="O7" s="12"/>
      <c r="P7" s="12"/>
      <c r="Q7" s="18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2"/>
      <c r="M8" s="18"/>
      <c r="N8" s="12"/>
      <c r="O8" s="12"/>
      <c r="P8" s="12"/>
      <c r="Q8" s="18"/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2"/>
      <c r="M9" s="18"/>
      <c r="N9" s="12"/>
      <c r="O9" s="12"/>
      <c r="P9" s="12"/>
      <c r="Q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2"/>
      <c r="M10" s="18"/>
      <c r="N10" s="12"/>
      <c r="O10" s="12"/>
      <c r="P10" s="12"/>
      <c r="Q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2"/>
      <c r="M11" s="18"/>
      <c r="N11" s="12"/>
      <c r="O11" s="12"/>
      <c r="P11" s="12"/>
      <c r="Q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2"/>
      <c r="M12" s="18"/>
      <c r="N12" s="12"/>
      <c r="O12" s="12"/>
      <c r="P12" s="12"/>
      <c r="Q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2"/>
      <c r="M13" s="18"/>
      <c r="N13" s="12"/>
      <c r="O13" s="12"/>
      <c r="P13" s="12"/>
      <c r="Q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2"/>
      <c r="M14" s="18"/>
      <c r="N14" s="12"/>
      <c r="O14" s="12"/>
      <c r="P14" s="12"/>
      <c r="Q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2"/>
      <c r="M15" s="18"/>
      <c r="N15" s="12"/>
      <c r="O15" s="12"/>
      <c r="P15" s="12"/>
      <c r="Q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2"/>
      <c r="M16" s="18"/>
      <c r="N16" s="12"/>
      <c r="O16" s="12"/>
      <c r="P16" s="12"/>
      <c r="Q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2"/>
      <c r="M17" s="18"/>
      <c r="N17" s="12"/>
      <c r="O17" s="12"/>
      <c r="P17" s="12"/>
      <c r="Q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2"/>
      <c r="M18" s="18"/>
      <c r="N18" s="12"/>
      <c r="O18" s="12"/>
      <c r="P18" s="12"/>
      <c r="Q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2"/>
      <c r="M19" s="18"/>
      <c r="N19" s="12"/>
      <c r="O19" s="12"/>
      <c r="P19" s="12"/>
      <c r="Q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2"/>
      <c r="M20" s="18"/>
      <c r="N20" s="12"/>
      <c r="O20" s="12"/>
      <c r="P20" s="12"/>
      <c r="Q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2"/>
      <c r="M21" s="18"/>
      <c r="N21" s="12"/>
      <c r="O21" s="12"/>
      <c r="P21" s="12"/>
      <c r="Q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2"/>
      <c r="M22" s="18"/>
      <c r="N22" s="12"/>
      <c r="O22" s="12"/>
      <c r="P22" s="12"/>
      <c r="Q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2"/>
      <c r="M23" s="18"/>
      <c r="N23" s="12"/>
      <c r="O23" s="12"/>
      <c r="P23" s="12"/>
      <c r="Q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2"/>
      <c r="M24" s="18"/>
      <c r="N24" s="12"/>
      <c r="O24" s="12"/>
      <c r="P24" s="12"/>
      <c r="Q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2"/>
      <c r="M25" s="18"/>
      <c r="N25" s="12"/>
      <c r="O25" s="12"/>
      <c r="P25" s="12"/>
      <c r="Q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2"/>
      <c r="M26" s="18"/>
      <c r="N26" s="12"/>
      <c r="O26" s="12"/>
      <c r="P26" s="12"/>
      <c r="Q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2"/>
      <c r="M27" s="18"/>
      <c r="N27" s="12"/>
      <c r="O27" s="12"/>
      <c r="P27" s="12"/>
      <c r="Q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2"/>
      <c r="M28" s="18"/>
      <c r="N28" s="12"/>
      <c r="O28" s="12"/>
      <c r="P28" s="12"/>
      <c r="Q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2"/>
      <c r="M29" s="18"/>
      <c r="N29" s="12"/>
      <c r="O29" s="12"/>
      <c r="P29" s="12"/>
      <c r="Q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2"/>
      <c r="M30" s="18"/>
      <c r="N30" s="12"/>
      <c r="O30" s="12"/>
      <c r="P30" s="12"/>
      <c r="Q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2"/>
      <c r="M31" s="18"/>
      <c r="N31" s="12"/>
      <c r="O31" s="12"/>
      <c r="P31" s="12"/>
      <c r="Q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2"/>
      <c r="M32" s="18"/>
      <c r="N32" s="12"/>
      <c r="O32" s="12"/>
      <c r="P32" s="12"/>
      <c r="Q32" s="18"/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2"/>
      <c r="M33" s="18"/>
      <c r="N33" s="12"/>
      <c r="O33" s="12"/>
      <c r="P33" s="12"/>
      <c r="Q33" s="18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2"/>
      <c r="M34" s="18"/>
      <c r="N34" s="12"/>
      <c r="O34" s="12"/>
      <c r="P34" s="12"/>
      <c r="Q34" s="18"/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2"/>
      <c r="M35" s="18"/>
      <c r="N35" s="12"/>
      <c r="O35" s="12"/>
      <c r="P35" s="12"/>
      <c r="Q35" s="18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2"/>
      <c r="M36" s="18"/>
      <c r="N36" s="12"/>
      <c r="O36" s="12"/>
      <c r="P36" s="12"/>
      <c r="Q36" s="18"/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2"/>
      <c r="M37" s="18"/>
      <c r="N37" s="12"/>
      <c r="O37" s="12"/>
      <c r="P37" s="12"/>
      <c r="Q37" s="18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2"/>
      <c r="M38" s="18"/>
      <c r="N38" s="12"/>
      <c r="O38" s="12"/>
      <c r="P38" s="12"/>
      <c r="Q38" s="18"/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2"/>
      <c r="M39" s="18"/>
      <c r="N39" s="12"/>
      <c r="O39" s="12"/>
      <c r="P39" s="12"/>
      <c r="Q39" s="18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2"/>
      <c r="M40" s="18"/>
      <c r="N40" s="12"/>
      <c r="O40" s="12"/>
      <c r="P40" s="12"/>
      <c r="Q40" s="18"/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2"/>
      <c r="M41" s="18"/>
      <c r="N41" s="12"/>
      <c r="O41" s="12"/>
      <c r="P41" s="12"/>
      <c r="Q41" s="18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2"/>
      <c r="M42" s="18"/>
      <c r="N42" s="12"/>
      <c r="O42" s="12"/>
      <c r="P42" s="12"/>
      <c r="Q42" s="18"/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2"/>
      <c r="M43" s="18"/>
      <c r="N43" s="12"/>
      <c r="O43" s="12"/>
      <c r="P43" s="12"/>
      <c r="Q43" s="18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2"/>
      <c r="M44" s="18"/>
      <c r="N44" s="12"/>
      <c r="O44" s="12"/>
      <c r="P44" s="12"/>
      <c r="Q44" s="18"/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2"/>
      <c r="M45" s="18"/>
      <c r="N45" s="12"/>
      <c r="O45" s="12"/>
      <c r="P45" s="12"/>
      <c r="Q45" s="18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2"/>
      <c r="M46" s="18"/>
      <c r="N46" s="12"/>
      <c r="O46" s="12"/>
      <c r="P46" s="12"/>
      <c r="Q46" s="18"/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2"/>
      <c r="M47" s="18"/>
      <c r="N47" s="12"/>
      <c r="O47" s="12"/>
      <c r="P47" s="12"/>
      <c r="Q47" s="18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2"/>
      <c r="M48" s="18"/>
      <c r="N48" s="12"/>
      <c r="O48" s="12"/>
      <c r="P48" s="12"/>
      <c r="Q48" s="18"/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2"/>
      <c r="M49" s="18"/>
      <c r="N49" s="12"/>
      <c r="O49" s="12"/>
      <c r="P49" s="12"/>
      <c r="Q49" s="18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2"/>
      <c r="M50" s="18"/>
      <c r="N50" s="12"/>
      <c r="O50" s="12"/>
      <c r="P50" s="12"/>
      <c r="Q50" s="18"/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2"/>
      <c r="M51" s="18"/>
      <c r="N51" s="12"/>
      <c r="O51" s="12"/>
      <c r="P51" s="12"/>
      <c r="Q51" s="18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2"/>
      <c r="M52" s="18"/>
      <c r="N52" s="12"/>
      <c r="O52" s="12"/>
      <c r="P52" s="12"/>
      <c r="Q52" s="18"/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2"/>
      <c r="M53" s="18"/>
      <c r="N53" s="12"/>
      <c r="O53" s="12"/>
      <c r="P53" s="12"/>
      <c r="Q53" s="18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2"/>
      <c r="M54" s="18"/>
      <c r="N54" s="12"/>
      <c r="O54" s="12"/>
      <c r="P54" s="12"/>
      <c r="Q54" s="18"/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2"/>
      <c r="M55" s="18"/>
      <c r="N55" s="12"/>
      <c r="O55" s="12"/>
      <c r="P55" s="12"/>
      <c r="Q55" s="18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2"/>
      <c r="M56" s="18"/>
      <c r="N56" s="12"/>
      <c r="O56" s="12"/>
      <c r="P56" s="12"/>
      <c r="Q56" s="18"/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2"/>
      <c r="M57" s="18"/>
      <c r="N57" s="12"/>
      <c r="O57" s="12"/>
      <c r="P57" s="12"/>
      <c r="Q57" s="18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2"/>
      <c r="M58" s="18"/>
      <c r="N58" s="12"/>
      <c r="O58" s="12"/>
      <c r="P58" s="12"/>
      <c r="Q58" s="18"/>
    </row>
    <row r="59" customFormat="false" ht="15" hidden="false" customHeight="fals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2"/>
      <c r="M59" s="18"/>
      <c r="N59" s="12"/>
      <c r="O59" s="12"/>
      <c r="P59" s="12"/>
      <c r="Q59" s="18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2"/>
      <c r="M60" s="18"/>
      <c r="N60" s="12"/>
      <c r="O60" s="12"/>
      <c r="P60" s="12"/>
      <c r="Q60" s="18"/>
    </row>
    <row r="61" customFormat="false" ht="15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2"/>
      <c r="M61" s="18"/>
      <c r="N61" s="12"/>
      <c r="O61" s="12"/>
      <c r="P61" s="12"/>
      <c r="Q61" s="18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2"/>
      <c r="M62" s="18"/>
      <c r="N62" s="12"/>
      <c r="O62" s="12"/>
      <c r="P62" s="12"/>
      <c r="Q62" s="18"/>
    </row>
    <row r="63" customFormat="false" ht="15" hidden="false" customHeight="fals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2"/>
      <c r="M63" s="18"/>
      <c r="N63" s="12"/>
      <c r="O63" s="12"/>
      <c r="P63" s="12"/>
      <c r="Q63" s="18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2"/>
      <c r="M64" s="18"/>
      <c r="N64" s="12"/>
      <c r="O64" s="12"/>
      <c r="P64" s="12"/>
      <c r="Q64" s="18"/>
    </row>
    <row r="65" customFormat="false" ht="15" hidden="false" customHeight="fals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2"/>
      <c r="M65" s="18"/>
      <c r="N65" s="12"/>
      <c r="O65" s="12"/>
      <c r="P65" s="12"/>
      <c r="Q65" s="18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2"/>
      <c r="M66" s="18"/>
      <c r="N66" s="12"/>
      <c r="O66" s="12"/>
      <c r="P66" s="12"/>
      <c r="Q66" s="18"/>
    </row>
    <row r="67" customFormat="false" ht="15" hidden="false" customHeight="fals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2"/>
      <c r="M67" s="18"/>
      <c r="N67" s="12"/>
      <c r="O67" s="12"/>
      <c r="P67" s="12"/>
      <c r="Q67" s="18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2"/>
      <c r="M68" s="18"/>
      <c r="N68" s="12"/>
      <c r="O68" s="12"/>
      <c r="P68" s="12"/>
      <c r="Q68" s="18"/>
    </row>
    <row r="69" customFormat="false" ht="15" hidden="false" customHeight="fals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2"/>
      <c r="M69" s="18"/>
      <c r="N69" s="12"/>
      <c r="O69" s="12"/>
      <c r="P69" s="12"/>
      <c r="Q69" s="18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2"/>
      <c r="M70" s="18"/>
      <c r="N70" s="12"/>
      <c r="O70" s="12"/>
      <c r="P70" s="12"/>
      <c r="Q70" s="18"/>
    </row>
    <row r="71" customFormat="false" ht="15" hidden="false" customHeight="fals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2"/>
      <c r="M71" s="18"/>
      <c r="N71" s="12"/>
      <c r="O71" s="12"/>
      <c r="P71" s="12"/>
      <c r="Q71" s="18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2"/>
      <c r="M72" s="18"/>
      <c r="N72" s="12"/>
      <c r="O72" s="12"/>
      <c r="P72" s="12"/>
      <c r="Q72" s="18"/>
    </row>
    <row r="73" customFormat="false" ht="15" hidden="false" customHeight="fals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2"/>
      <c r="M73" s="18"/>
      <c r="N73" s="12"/>
      <c r="O73" s="12"/>
      <c r="P73" s="12"/>
      <c r="Q73" s="18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2"/>
      <c r="M74" s="18"/>
      <c r="N74" s="12"/>
      <c r="O74" s="12"/>
      <c r="P74" s="12"/>
      <c r="Q74" s="18"/>
    </row>
    <row r="75" customFormat="false" ht="15" hidden="false" customHeight="fals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2"/>
      <c r="M75" s="18"/>
      <c r="N75" s="12"/>
      <c r="O75" s="12"/>
      <c r="P75" s="12"/>
      <c r="Q75" s="18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2"/>
      <c r="M76" s="18"/>
      <c r="N76" s="12"/>
      <c r="O76" s="12"/>
      <c r="P76" s="12"/>
      <c r="Q76" s="18"/>
    </row>
    <row r="77" customFormat="false" ht="15" hidden="false" customHeight="fals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2"/>
      <c r="M77" s="18"/>
      <c r="N77" s="12"/>
      <c r="O77" s="12"/>
      <c r="P77" s="12"/>
      <c r="Q77" s="18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2"/>
      <c r="M78" s="18"/>
      <c r="N78" s="12"/>
      <c r="O78" s="12"/>
      <c r="P78" s="12"/>
      <c r="Q78" s="18"/>
    </row>
    <row r="79" customFormat="false" ht="15" hidden="false" customHeight="fals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2"/>
      <c r="M79" s="18"/>
      <c r="N79" s="12"/>
      <c r="O79" s="12"/>
      <c r="P79" s="12"/>
      <c r="Q79" s="18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2"/>
      <c r="M80" s="18"/>
      <c r="N80" s="12"/>
      <c r="O80" s="12"/>
      <c r="P80" s="12"/>
      <c r="Q80" s="18"/>
    </row>
    <row r="81" customFormat="false" ht="15" hidden="false" customHeight="fals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2"/>
      <c r="M81" s="18"/>
      <c r="N81" s="12"/>
      <c r="O81" s="12"/>
      <c r="P81" s="12"/>
      <c r="Q81" s="18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2"/>
      <c r="M82" s="18"/>
      <c r="N82" s="12"/>
      <c r="O82" s="12"/>
      <c r="P82" s="12"/>
      <c r="Q82" s="18"/>
    </row>
    <row r="83" customFormat="false" ht="15" hidden="false" customHeight="fals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2"/>
      <c r="M83" s="18"/>
      <c r="N83" s="12"/>
      <c r="O83" s="12"/>
      <c r="P83" s="12"/>
      <c r="Q83" s="18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2"/>
      <c r="M84" s="18"/>
      <c r="N84" s="12"/>
      <c r="O84" s="12"/>
      <c r="P84" s="12"/>
      <c r="Q84" s="18"/>
    </row>
    <row r="85" customFormat="false" ht="15" hidden="false" customHeight="fals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2"/>
      <c r="M85" s="18"/>
      <c r="N85" s="12"/>
      <c r="O85" s="12"/>
      <c r="P85" s="12"/>
      <c r="Q85" s="18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2"/>
      <c r="M86" s="18"/>
      <c r="N86" s="12"/>
      <c r="O86" s="12"/>
      <c r="P86" s="12"/>
      <c r="Q86" s="18"/>
    </row>
    <row r="87" customFormat="false" ht="15" hidden="false" customHeight="fals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2"/>
      <c r="M87" s="18"/>
      <c r="N87" s="12"/>
      <c r="O87" s="12"/>
      <c r="P87" s="12"/>
      <c r="Q87" s="18"/>
    </row>
    <row r="88" customFormat="false" ht="15" hidden="false" customHeight="fals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2"/>
      <c r="M88" s="18"/>
      <c r="N88" s="12"/>
      <c r="O88" s="12"/>
      <c r="P88" s="12"/>
      <c r="Q88" s="18"/>
    </row>
    <row r="89" customFormat="false" ht="15" hidden="false" customHeight="fals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2"/>
      <c r="M89" s="18"/>
      <c r="N89" s="12"/>
      <c r="O89" s="12"/>
      <c r="P89" s="12"/>
      <c r="Q89" s="18"/>
    </row>
    <row r="90" customFormat="false" ht="15" hidden="false" customHeight="fals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2"/>
      <c r="M90" s="18"/>
      <c r="N90" s="12"/>
      <c r="O90" s="12"/>
      <c r="P90" s="12"/>
      <c r="Q90" s="18"/>
    </row>
    <row r="91" customFormat="false" ht="15" hidden="false" customHeight="fals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2"/>
      <c r="M91" s="18"/>
      <c r="N91" s="12"/>
      <c r="O91" s="12"/>
      <c r="P91" s="12"/>
      <c r="Q91" s="18"/>
    </row>
    <row r="92" customFormat="false" ht="15" hidden="false" customHeight="fals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2"/>
      <c r="M92" s="18"/>
      <c r="N92" s="12"/>
      <c r="O92" s="12"/>
      <c r="P92" s="12"/>
      <c r="Q92" s="18"/>
    </row>
    <row r="93" customFormat="false" ht="15" hidden="false" customHeight="fals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2"/>
      <c r="M93" s="18"/>
      <c r="N93" s="12"/>
      <c r="O93" s="12"/>
      <c r="P93" s="12"/>
      <c r="Q93" s="18"/>
    </row>
    <row r="94" customFormat="false" ht="15" hidden="false" customHeight="fals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2"/>
      <c r="M94" s="18"/>
      <c r="N94" s="12"/>
      <c r="O94" s="12"/>
      <c r="P94" s="12"/>
      <c r="Q94" s="18"/>
    </row>
    <row r="95" customFormat="false" ht="15" hidden="false" customHeight="fals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2"/>
      <c r="M95" s="18"/>
      <c r="N95" s="12"/>
      <c r="O95" s="12"/>
      <c r="P95" s="12"/>
      <c r="Q95" s="18"/>
    </row>
    <row r="96" customFormat="false" ht="15" hidden="false" customHeight="fals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2"/>
      <c r="M96" s="18"/>
      <c r="N96" s="12"/>
      <c r="O96" s="12"/>
      <c r="P96" s="12"/>
      <c r="Q96" s="18"/>
    </row>
    <row r="97" customFormat="false" ht="15" hidden="false" customHeight="fals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2"/>
      <c r="M97" s="18"/>
      <c r="N97" s="12"/>
      <c r="O97" s="12"/>
      <c r="P97" s="12"/>
      <c r="Q97" s="18"/>
    </row>
    <row r="98" customFormat="false" ht="15" hidden="false" customHeight="fals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2"/>
      <c r="M98" s="18"/>
      <c r="N98" s="12"/>
      <c r="O98" s="12"/>
      <c r="P98" s="12"/>
      <c r="Q98" s="18"/>
    </row>
    <row r="99" customFormat="false" ht="15" hidden="false" customHeight="fals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2"/>
      <c r="M99" s="18"/>
      <c r="N99" s="12"/>
      <c r="O99" s="12"/>
      <c r="P99" s="12"/>
      <c r="Q99" s="18"/>
    </row>
    <row r="100" customFormat="false" ht="15" hidden="false" customHeight="fals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2"/>
      <c r="M100" s="18"/>
      <c r="N100" s="12"/>
      <c r="O100" s="12"/>
      <c r="P100" s="12"/>
      <c r="Q100" s="18"/>
    </row>
    <row r="101" customFormat="false" ht="15" hidden="false" customHeight="fals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2"/>
      <c r="M101" s="18"/>
      <c r="N101" s="12"/>
      <c r="O101" s="12"/>
      <c r="P101" s="12"/>
      <c r="Q101" s="18"/>
    </row>
    <row r="102" customFormat="false" ht="15" hidden="false" customHeight="fals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2"/>
      <c r="M102" s="18"/>
      <c r="N102" s="12"/>
      <c r="O102" s="12"/>
      <c r="P102" s="12"/>
      <c r="Q102" s="18"/>
    </row>
    <row r="103" customFormat="false" ht="15" hidden="false" customHeight="fals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2"/>
      <c r="M103" s="18"/>
      <c r="N103" s="12"/>
      <c r="O103" s="12"/>
      <c r="P103" s="12"/>
      <c r="Q103" s="18"/>
    </row>
    <row r="104" customFormat="false" ht="15" hidden="false" customHeight="fals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2"/>
      <c r="M104" s="18"/>
      <c r="N104" s="12"/>
      <c r="O104" s="12"/>
      <c r="P104" s="12"/>
      <c r="Q104" s="18"/>
    </row>
    <row r="105" customFormat="false" ht="15" hidden="false" customHeight="fals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2"/>
      <c r="M105" s="18"/>
      <c r="N105" s="12"/>
      <c r="O105" s="12"/>
      <c r="P105" s="12"/>
      <c r="Q105" s="18"/>
    </row>
    <row r="106" customFormat="false" ht="15" hidden="false" customHeight="fals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2"/>
      <c r="M106" s="18"/>
      <c r="N106" s="12"/>
      <c r="O106" s="12"/>
      <c r="P106" s="12"/>
      <c r="Q106" s="18"/>
    </row>
    <row r="107" customFormat="false" ht="15" hidden="false" customHeight="fals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2"/>
      <c r="M107" s="18"/>
      <c r="N107" s="12"/>
      <c r="O107" s="12"/>
      <c r="P107" s="12"/>
      <c r="Q107" s="18"/>
    </row>
    <row r="108" customFormat="false" ht="15" hidden="false" customHeight="fals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2"/>
      <c r="M108" s="18"/>
      <c r="N108" s="12"/>
      <c r="O108" s="12"/>
      <c r="P108" s="12"/>
      <c r="Q108" s="18"/>
    </row>
    <row r="109" customFormat="false" ht="15" hidden="false" customHeight="fals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2"/>
      <c r="M109" s="18"/>
      <c r="N109" s="12"/>
      <c r="O109" s="12"/>
      <c r="P109" s="12"/>
      <c r="Q109" s="18"/>
    </row>
    <row r="110" customFormat="false" ht="15" hidden="false" customHeight="fals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2"/>
      <c r="M110" s="18"/>
      <c r="N110" s="12"/>
      <c r="O110" s="12"/>
      <c r="P110" s="12"/>
      <c r="Q110" s="18"/>
    </row>
    <row r="111" customFormat="false" ht="15" hidden="false" customHeight="fals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2"/>
      <c r="M111" s="18"/>
      <c r="N111" s="12"/>
      <c r="O111" s="12"/>
      <c r="P111" s="12"/>
      <c r="Q111" s="18"/>
    </row>
    <row r="112" customFormat="false" ht="15" hidden="false" customHeight="fals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2"/>
      <c r="M112" s="18"/>
      <c r="N112" s="12"/>
      <c r="O112" s="12"/>
      <c r="P112" s="12"/>
      <c r="Q112" s="18"/>
    </row>
    <row r="113" customFormat="false" ht="15" hidden="false" customHeight="fals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2"/>
      <c r="M113" s="18"/>
      <c r="N113" s="12"/>
      <c r="O113" s="12"/>
      <c r="P113" s="12"/>
      <c r="Q113" s="18"/>
    </row>
    <row r="114" customFormat="false" ht="15" hidden="false" customHeight="fals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2"/>
      <c r="M114" s="18"/>
      <c r="N114" s="12"/>
      <c r="O114" s="12"/>
      <c r="P114" s="12"/>
      <c r="Q114" s="18"/>
    </row>
    <row r="115" customFormat="false" ht="15" hidden="false" customHeight="fals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2"/>
      <c r="M115" s="18"/>
      <c r="N115" s="12"/>
      <c r="O115" s="12"/>
      <c r="P115" s="12"/>
      <c r="Q115" s="18"/>
    </row>
    <row r="116" customFormat="false" ht="15" hidden="false" customHeight="fals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2"/>
      <c r="M116" s="18"/>
      <c r="N116" s="12"/>
      <c r="O116" s="12"/>
      <c r="P116" s="12"/>
      <c r="Q116" s="18"/>
    </row>
    <row r="117" customFormat="false" ht="15" hidden="false" customHeight="fals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2"/>
      <c r="M117" s="18"/>
      <c r="N117" s="12"/>
      <c r="O117" s="12"/>
      <c r="P117" s="12"/>
      <c r="Q117" s="18"/>
    </row>
    <row r="118" customFormat="false" ht="15" hidden="false" customHeight="fals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2"/>
      <c r="M118" s="18"/>
      <c r="N118" s="12"/>
      <c r="O118" s="12"/>
      <c r="P118" s="12"/>
      <c r="Q118" s="18"/>
    </row>
    <row r="119" customFormat="false" ht="15" hidden="false" customHeight="fals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2"/>
      <c r="M119" s="18"/>
      <c r="N119" s="12"/>
      <c r="O119" s="12"/>
      <c r="P119" s="12"/>
      <c r="Q119" s="18"/>
    </row>
    <row r="120" customFormat="false" ht="15" hidden="false" customHeight="fals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2"/>
      <c r="M120" s="18"/>
      <c r="N120" s="12"/>
      <c r="O120" s="12"/>
      <c r="P120" s="12"/>
      <c r="Q120" s="18"/>
    </row>
    <row r="121" customFormat="false" ht="15" hidden="false" customHeight="fals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2"/>
      <c r="M121" s="18"/>
      <c r="N121" s="12"/>
      <c r="O121" s="12"/>
      <c r="P121" s="12"/>
      <c r="Q121" s="18"/>
    </row>
    <row r="122" customFormat="false" ht="15" hidden="false" customHeight="fals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2"/>
      <c r="M122" s="18"/>
      <c r="N122" s="12"/>
      <c r="O122" s="12"/>
      <c r="P122" s="12"/>
      <c r="Q122" s="18"/>
    </row>
    <row r="123" customFormat="false" ht="15" hidden="false" customHeight="fals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2"/>
      <c r="M123" s="18"/>
      <c r="N123" s="12"/>
      <c r="O123" s="12"/>
      <c r="P123" s="12"/>
      <c r="Q123" s="18"/>
    </row>
    <row r="124" customFormat="false" ht="15" hidden="false" customHeight="fals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2"/>
      <c r="M124" s="18"/>
      <c r="N124" s="12"/>
      <c r="O124" s="12"/>
      <c r="P124" s="12"/>
      <c r="Q124" s="18"/>
    </row>
    <row r="125" customFormat="false" ht="15" hidden="false" customHeight="fals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2"/>
      <c r="M125" s="18"/>
      <c r="N125" s="12"/>
      <c r="O125" s="12"/>
      <c r="P125" s="12"/>
      <c r="Q125" s="18"/>
    </row>
    <row r="126" customFormat="false" ht="15" hidden="false" customHeight="fals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2"/>
      <c r="M126" s="18"/>
      <c r="N126" s="12"/>
      <c r="O126" s="12"/>
      <c r="P126" s="12"/>
      <c r="Q126" s="18"/>
    </row>
    <row r="127" customFormat="false" ht="15" hidden="false" customHeight="fals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2"/>
      <c r="M127" s="18"/>
      <c r="N127" s="12"/>
      <c r="O127" s="12"/>
      <c r="P127" s="12"/>
      <c r="Q127" s="18"/>
    </row>
    <row r="128" customFormat="false" ht="15" hidden="false" customHeight="fals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2"/>
      <c r="M128" s="18"/>
      <c r="N128" s="12"/>
      <c r="O128" s="12"/>
      <c r="P128" s="12"/>
      <c r="Q128" s="18"/>
    </row>
    <row r="129" customFormat="false" ht="15" hidden="false" customHeight="fals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2"/>
      <c r="M129" s="18"/>
      <c r="N129" s="12"/>
      <c r="O129" s="12"/>
      <c r="P129" s="12"/>
      <c r="Q129" s="18"/>
    </row>
    <row r="130" customFormat="false" ht="15" hidden="false" customHeight="fals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2"/>
      <c r="M130" s="18"/>
      <c r="N130" s="12"/>
      <c r="O130" s="12"/>
      <c r="P130" s="12"/>
      <c r="Q130" s="18"/>
    </row>
    <row r="131" customFormat="false" ht="15" hidden="false" customHeight="fals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2"/>
      <c r="M131" s="18"/>
      <c r="N131" s="12"/>
      <c r="O131" s="12"/>
      <c r="P131" s="12"/>
      <c r="Q131" s="18"/>
    </row>
    <row r="132" customFormat="false" ht="15" hidden="false" customHeight="fals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2"/>
      <c r="M132" s="18"/>
      <c r="N132" s="12"/>
      <c r="O132" s="12"/>
      <c r="P132" s="12"/>
      <c r="Q132" s="18"/>
    </row>
    <row r="133" customFormat="false" ht="15" hidden="false" customHeight="fals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2"/>
      <c r="M133" s="18"/>
      <c r="N133" s="12"/>
      <c r="O133" s="12"/>
      <c r="P133" s="12"/>
      <c r="Q133" s="18"/>
    </row>
    <row r="134" customFormat="false" ht="15" hidden="false" customHeight="fals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2"/>
      <c r="M134" s="18"/>
      <c r="N134" s="12"/>
      <c r="O134" s="12"/>
      <c r="P134" s="12"/>
      <c r="Q134" s="18"/>
    </row>
    <row r="135" customFormat="false" ht="15" hidden="false" customHeight="fals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2"/>
      <c r="M135" s="18"/>
      <c r="N135" s="12"/>
      <c r="O135" s="12"/>
      <c r="P135" s="12"/>
      <c r="Q135" s="18"/>
    </row>
    <row r="136" customFormat="false" ht="15" hidden="false" customHeight="fals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2"/>
      <c r="M136" s="18"/>
      <c r="N136" s="12"/>
      <c r="O136" s="12"/>
      <c r="P136" s="12"/>
      <c r="Q136" s="18"/>
    </row>
    <row r="137" customFormat="false" ht="15" hidden="false" customHeight="fals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2"/>
      <c r="M137" s="18"/>
      <c r="N137" s="12"/>
      <c r="O137" s="12"/>
      <c r="P137" s="12"/>
      <c r="Q137" s="18"/>
    </row>
    <row r="138" customFormat="false" ht="15" hidden="false" customHeight="fals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2"/>
      <c r="M138" s="18"/>
      <c r="N138" s="12"/>
      <c r="O138" s="12"/>
      <c r="P138" s="12"/>
      <c r="Q138" s="18"/>
    </row>
    <row r="139" customFormat="false" ht="15" hidden="false" customHeight="fals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2"/>
      <c r="M139" s="18"/>
      <c r="N139" s="12"/>
      <c r="O139" s="12"/>
      <c r="P139" s="12"/>
      <c r="Q139" s="18"/>
    </row>
    <row r="140" customFormat="false" ht="15" hidden="false" customHeight="fals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2"/>
      <c r="M140" s="18"/>
      <c r="N140" s="12"/>
      <c r="O140" s="12"/>
      <c r="P140" s="12"/>
      <c r="Q140" s="18"/>
    </row>
    <row r="141" customFormat="false" ht="15" hidden="false" customHeight="fals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2"/>
      <c r="M141" s="18"/>
      <c r="N141" s="12"/>
      <c r="O141" s="12"/>
      <c r="P141" s="12"/>
      <c r="Q141" s="18"/>
    </row>
    <row r="142" customFormat="false" ht="15" hidden="false" customHeight="fals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2"/>
      <c r="M142" s="18"/>
      <c r="N142" s="12"/>
      <c r="O142" s="12"/>
      <c r="P142" s="12"/>
      <c r="Q142" s="18"/>
    </row>
    <row r="143" customFormat="false" ht="15" hidden="false" customHeight="fals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2"/>
      <c r="M143" s="18"/>
      <c r="N143" s="12"/>
      <c r="O143" s="12"/>
      <c r="P143" s="12"/>
      <c r="Q143" s="18"/>
    </row>
    <row r="144" customFormat="false" ht="15" hidden="false" customHeight="fals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2"/>
      <c r="M144" s="18"/>
      <c r="N144" s="12"/>
      <c r="O144" s="12"/>
      <c r="P144" s="12"/>
      <c r="Q144" s="18"/>
    </row>
    <row r="145" customFormat="false" ht="15" hidden="false" customHeight="fals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2"/>
      <c r="M145" s="18"/>
      <c r="N145" s="12"/>
      <c r="O145" s="12"/>
      <c r="P145" s="12"/>
      <c r="Q145" s="18"/>
    </row>
    <row r="146" customFormat="false" ht="15" hidden="false" customHeight="fals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2"/>
      <c r="M146" s="18"/>
      <c r="N146" s="12"/>
      <c r="O146" s="12"/>
      <c r="P146" s="12"/>
      <c r="Q146" s="18"/>
    </row>
    <row r="147" customFormat="false" ht="15" hidden="false" customHeight="fals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2"/>
      <c r="M147" s="18"/>
      <c r="N147" s="12"/>
      <c r="O147" s="12"/>
      <c r="P147" s="12"/>
      <c r="Q147" s="18"/>
    </row>
    <row r="148" customFormat="false" ht="15" hidden="false" customHeight="fals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2"/>
      <c r="M148" s="18"/>
      <c r="N148" s="12"/>
      <c r="O148" s="12"/>
      <c r="P148" s="12"/>
      <c r="Q148" s="18"/>
    </row>
    <row r="149" customFormat="false" ht="15" hidden="false" customHeight="fals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2"/>
      <c r="M149" s="18"/>
      <c r="N149" s="12"/>
      <c r="O149" s="12"/>
      <c r="P149" s="12"/>
      <c r="Q149" s="18"/>
    </row>
    <row r="150" customFormat="false" ht="15" hidden="false" customHeight="fals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2"/>
      <c r="M150" s="18"/>
      <c r="N150" s="12"/>
      <c r="O150" s="12"/>
      <c r="P150" s="12"/>
      <c r="Q150" s="18"/>
    </row>
    <row r="151" customFormat="false" ht="15" hidden="false" customHeight="fals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2"/>
      <c r="M151" s="18"/>
      <c r="N151" s="12"/>
      <c r="O151" s="12"/>
      <c r="P151" s="12"/>
      <c r="Q151" s="18"/>
    </row>
    <row r="152" customFormat="false" ht="15" hidden="false" customHeight="fals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2"/>
      <c r="M152" s="18"/>
      <c r="N152" s="12"/>
      <c r="O152" s="12"/>
      <c r="P152" s="12"/>
      <c r="Q152" s="18"/>
    </row>
    <row r="153" customFormat="false" ht="15" hidden="false" customHeight="fals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2"/>
      <c r="M153" s="18"/>
      <c r="N153" s="12"/>
      <c r="O153" s="12"/>
      <c r="P153" s="12"/>
      <c r="Q153" s="18"/>
    </row>
    <row r="154" customFormat="false" ht="15" hidden="false" customHeight="fals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2"/>
      <c r="M154" s="18"/>
      <c r="N154" s="12"/>
      <c r="O154" s="12"/>
      <c r="P154" s="12"/>
      <c r="Q154" s="18"/>
    </row>
    <row r="155" customFormat="false" ht="15" hidden="false" customHeight="fals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2"/>
      <c r="M155" s="18"/>
      <c r="N155" s="12"/>
      <c r="O155" s="12"/>
      <c r="P155" s="12"/>
      <c r="Q155" s="18"/>
    </row>
    <row r="156" customFormat="false" ht="15" hidden="false" customHeight="fals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2"/>
      <c r="M156" s="18"/>
      <c r="N156" s="12"/>
      <c r="O156" s="12"/>
      <c r="P156" s="12"/>
      <c r="Q156" s="18"/>
    </row>
    <row r="157" customFormat="false" ht="15" hidden="false" customHeight="fals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2"/>
      <c r="M157" s="18"/>
      <c r="N157" s="12"/>
      <c r="O157" s="12"/>
      <c r="P157" s="12"/>
      <c r="Q157" s="18"/>
    </row>
    <row r="158" customFormat="false" ht="15" hidden="false" customHeight="fals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2"/>
      <c r="M158" s="18"/>
      <c r="N158" s="12"/>
      <c r="O158" s="12"/>
      <c r="P158" s="12"/>
      <c r="Q158" s="18"/>
    </row>
    <row r="159" customFormat="false" ht="15" hidden="false" customHeight="fals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2"/>
      <c r="M159" s="18"/>
      <c r="N159" s="12"/>
      <c r="O159" s="12"/>
      <c r="P159" s="12"/>
      <c r="Q159" s="18"/>
    </row>
    <row r="160" customFormat="false" ht="15" hidden="false" customHeight="fals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2"/>
      <c r="M160" s="18"/>
      <c r="N160" s="12"/>
      <c r="O160" s="12"/>
      <c r="P160" s="12"/>
      <c r="Q160" s="18"/>
    </row>
    <row r="161" customFormat="false" ht="15" hidden="false" customHeight="fals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2"/>
      <c r="M161" s="18"/>
      <c r="N161" s="12"/>
      <c r="O161" s="12"/>
      <c r="P161" s="12"/>
      <c r="Q161" s="18"/>
    </row>
    <row r="162" customFormat="false" ht="15" hidden="false" customHeight="fals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2"/>
      <c r="M162" s="18"/>
      <c r="N162" s="12"/>
      <c r="O162" s="12"/>
      <c r="P162" s="12"/>
      <c r="Q162" s="18"/>
    </row>
    <row r="163" customFormat="false" ht="15" hidden="false" customHeight="fals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2"/>
      <c r="M163" s="18"/>
      <c r="N163" s="12"/>
      <c r="O163" s="12"/>
      <c r="P163" s="12"/>
      <c r="Q163" s="18"/>
    </row>
    <row r="164" customFormat="false" ht="15" hidden="false" customHeight="fals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2"/>
      <c r="M164" s="18"/>
      <c r="N164" s="12"/>
      <c r="O164" s="12"/>
      <c r="P164" s="12"/>
      <c r="Q164" s="18"/>
    </row>
    <row r="165" customFormat="false" ht="15" hidden="false" customHeight="fals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2"/>
      <c r="M165" s="18"/>
      <c r="N165" s="12"/>
      <c r="O165" s="12"/>
      <c r="P165" s="12"/>
      <c r="Q165" s="18"/>
    </row>
    <row r="166" customFormat="false" ht="15" hidden="false" customHeight="fals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2"/>
      <c r="M166" s="18"/>
      <c r="N166" s="12"/>
      <c r="O166" s="12"/>
      <c r="P166" s="12"/>
      <c r="Q166" s="18"/>
    </row>
    <row r="167" customFormat="false" ht="15" hidden="false" customHeight="fals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2"/>
      <c r="M167" s="18"/>
      <c r="N167" s="12"/>
      <c r="O167" s="12"/>
      <c r="P167" s="12"/>
      <c r="Q167" s="18"/>
    </row>
    <row r="168" customFormat="false" ht="15" hidden="false" customHeight="fals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2"/>
      <c r="M168" s="18"/>
      <c r="N168" s="12"/>
      <c r="O168" s="12"/>
      <c r="P168" s="12"/>
      <c r="Q168" s="18"/>
    </row>
    <row r="169" customFormat="false" ht="15" hidden="false" customHeight="fals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2"/>
      <c r="M169" s="18"/>
      <c r="N169" s="12"/>
      <c r="O169" s="12"/>
      <c r="P169" s="12"/>
      <c r="Q169" s="18"/>
    </row>
    <row r="170" customFormat="false" ht="15" hidden="false" customHeight="fals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2"/>
      <c r="M170" s="18"/>
      <c r="N170" s="12"/>
      <c r="O170" s="12"/>
      <c r="P170" s="12"/>
      <c r="Q170" s="18"/>
    </row>
    <row r="171" customFormat="false" ht="15" hidden="false" customHeight="fals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2"/>
      <c r="M171" s="18"/>
      <c r="N171" s="12"/>
      <c r="O171" s="12"/>
      <c r="P171" s="12"/>
      <c r="Q171" s="18"/>
    </row>
    <row r="172" customFormat="false" ht="15" hidden="false" customHeight="fals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2"/>
      <c r="M172" s="18"/>
      <c r="N172" s="12"/>
      <c r="O172" s="12"/>
      <c r="P172" s="12"/>
      <c r="Q172" s="18"/>
    </row>
    <row r="173" customFormat="false" ht="15" hidden="false" customHeight="fals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2"/>
      <c r="M173" s="18"/>
      <c r="N173" s="12"/>
      <c r="O173" s="12"/>
      <c r="P173" s="12"/>
      <c r="Q173" s="18"/>
    </row>
    <row r="174" customFormat="false" ht="15" hidden="false" customHeight="fals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2"/>
      <c r="M174" s="18"/>
      <c r="N174" s="12"/>
      <c r="O174" s="12"/>
      <c r="P174" s="12"/>
      <c r="Q174" s="18"/>
    </row>
    <row r="175" customFormat="false" ht="15" hidden="false" customHeight="fals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2"/>
      <c r="M175" s="18"/>
      <c r="N175" s="12"/>
      <c r="O175" s="12"/>
      <c r="P175" s="12"/>
      <c r="Q175" s="18"/>
    </row>
    <row r="176" customFormat="false" ht="15" hidden="false" customHeight="fals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2"/>
      <c r="M176" s="18"/>
      <c r="N176" s="12"/>
      <c r="O176" s="12"/>
      <c r="P176" s="12"/>
      <c r="Q176" s="18"/>
    </row>
    <row r="177" customFormat="false" ht="15" hidden="false" customHeight="fals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2"/>
      <c r="M177" s="18"/>
      <c r="N177" s="12"/>
      <c r="O177" s="12"/>
      <c r="P177" s="12"/>
      <c r="Q177" s="18"/>
    </row>
    <row r="178" customFormat="false" ht="15" hidden="false" customHeight="fals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2"/>
      <c r="M178" s="18"/>
      <c r="N178" s="12"/>
      <c r="O178" s="12"/>
      <c r="P178" s="12"/>
      <c r="Q178" s="18"/>
    </row>
    <row r="179" customFormat="false" ht="15" hidden="false" customHeight="fals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2"/>
      <c r="M179" s="18"/>
      <c r="N179" s="12"/>
      <c r="O179" s="12"/>
      <c r="P179" s="12"/>
      <c r="Q179" s="18"/>
    </row>
    <row r="180" customFormat="false" ht="15" hidden="false" customHeight="fals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2"/>
      <c r="M180" s="18"/>
      <c r="N180" s="12"/>
      <c r="O180" s="12"/>
      <c r="P180" s="12"/>
      <c r="Q180" s="18"/>
    </row>
    <row r="181" customFormat="false" ht="15" hidden="false" customHeight="fals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2"/>
      <c r="M181" s="18"/>
      <c r="N181" s="12"/>
      <c r="O181" s="12"/>
      <c r="P181" s="12"/>
      <c r="Q181" s="18"/>
    </row>
    <row r="182" customFormat="false" ht="15" hidden="false" customHeight="fals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2"/>
      <c r="M182" s="18"/>
      <c r="N182" s="12"/>
      <c r="O182" s="12"/>
      <c r="P182" s="12"/>
      <c r="Q182" s="18"/>
    </row>
    <row r="183" customFormat="false" ht="15" hidden="false" customHeight="fals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2"/>
      <c r="M183" s="18"/>
      <c r="N183" s="12"/>
      <c r="O183" s="12"/>
      <c r="P183" s="12"/>
      <c r="Q183" s="18"/>
    </row>
    <row r="184" customFormat="false" ht="15" hidden="false" customHeight="fals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2"/>
      <c r="M184" s="18"/>
      <c r="N184" s="12"/>
      <c r="O184" s="12"/>
      <c r="P184" s="12"/>
      <c r="Q184" s="18"/>
    </row>
    <row r="185" customFormat="false" ht="15" hidden="false" customHeight="fals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2"/>
      <c r="M185" s="18"/>
      <c r="N185" s="12"/>
      <c r="O185" s="12"/>
      <c r="P185" s="12"/>
      <c r="Q185" s="18"/>
    </row>
    <row r="186" customFormat="false" ht="15" hidden="false" customHeight="fals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2"/>
      <c r="M186" s="18"/>
      <c r="N186" s="12"/>
      <c r="O186" s="12"/>
      <c r="P186" s="12"/>
      <c r="Q186" s="18"/>
    </row>
    <row r="187" customFormat="false" ht="15" hidden="false" customHeight="fals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2"/>
      <c r="M187" s="18"/>
      <c r="N187" s="12"/>
      <c r="O187" s="12"/>
      <c r="P187" s="12"/>
      <c r="Q187" s="18"/>
    </row>
    <row r="188" customFormat="false" ht="15" hidden="false" customHeight="fals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2"/>
      <c r="M188" s="18"/>
      <c r="N188" s="12"/>
      <c r="O188" s="12"/>
      <c r="P188" s="12"/>
      <c r="Q188" s="18"/>
    </row>
    <row r="189" customFormat="false" ht="15" hidden="false" customHeight="fals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2"/>
      <c r="M189" s="18"/>
      <c r="N189" s="12"/>
      <c r="O189" s="12"/>
      <c r="P189" s="12"/>
      <c r="Q189" s="18"/>
    </row>
    <row r="190" customFormat="false" ht="15" hidden="false" customHeight="fals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2"/>
      <c r="M190" s="18"/>
      <c r="N190" s="12"/>
      <c r="O190" s="12"/>
      <c r="P190" s="12"/>
      <c r="Q190" s="18"/>
    </row>
    <row r="191" customFormat="false" ht="15" hidden="false" customHeight="fals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2"/>
      <c r="M191" s="18"/>
      <c r="N191" s="12"/>
      <c r="O191" s="12"/>
      <c r="P191" s="12"/>
      <c r="Q191" s="18"/>
    </row>
    <row r="192" customFormat="false" ht="15" hidden="false" customHeight="fals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2"/>
      <c r="M192" s="18"/>
      <c r="N192" s="12"/>
      <c r="O192" s="12"/>
      <c r="P192" s="12"/>
      <c r="Q192" s="18"/>
    </row>
    <row r="193" customFormat="false" ht="15" hidden="false" customHeight="fals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2"/>
      <c r="M193" s="18"/>
      <c r="N193" s="12"/>
      <c r="O193" s="12"/>
      <c r="P193" s="12"/>
      <c r="Q193" s="18"/>
    </row>
    <row r="194" customFormat="false" ht="15" hidden="false" customHeight="fals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2"/>
      <c r="M194" s="18"/>
      <c r="N194" s="12"/>
      <c r="O194" s="12"/>
      <c r="P194" s="12"/>
      <c r="Q194" s="18"/>
    </row>
    <row r="195" customFormat="false" ht="15" hidden="false" customHeight="fals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2"/>
      <c r="M195" s="18"/>
      <c r="N195" s="12"/>
      <c r="O195" s="12"/>
      <c r="P195" s="12"/>
      <c r="Q195" s="18"/>
    </row>
    <row r="196" customFormat="false" ht="15" hidden="false" customHeight="fals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2"/>
      <c r="M196" s="18"/>
      <c r="N196" s="12"/>
      <c r="O196" s="12"/>
      <c r="P196" s="12"/>
      <c r="Q196" s="18"/>
    </row>
    <row r="197" customFormat="false" ht="15" hidden="false" customHeight="fals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2"/>
      <c r="M197" s="18"/>
      <c r="N197" s="12"/>
      <c r="O197" s="12"/>
      <c r="P197" s="12"/>
      <c r="Q197" s="18"/>
    </row>
    <row r="198" customFormat="false" ht="15" hidden="false" customHeight="fals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2"/>
      <c r="M198" s="18"/>
      <c r="N198" s="12"/>
      <c r="O198" s="12"/>
      <c r="P198" s="12"/>
      <c r="Q198" s="18"/>
    </row>
    <row r="199" customFormat="false" ht="15" hidden="false" customHeight="fals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2"/>
      <c r="M199" s="18"/>
      <c r="N199" s="12"/>
      <c r="O199" s="12"/>
      <c r="P199" s="12"/>
      <c r="Q199" s="18"/>
    </row>
    <row r="200" customFormat="false" ht="15" hidden="false" customHeight="fals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2"/>
      <c r="M200" s="18"/>
      <c r="N200" s="12"/>
      <c r="O200" s="12"/>
      <c r="P200" s="12"/>
      <c r="Q200" s="18"/>
    </row>
    <row r="201" customFormat="false" ht="15" hidden="false" customHeight="fals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2"/>
      <c r="M201" s="18"/>
      <c r="N201" s="12"/>
      <c r="O201" s="12"/>
      <c r="P201" s="12"/>
      <c r="Q201" s="18"/>
    </row>
    <row r="202" customFormat="false" ht="15" hidden="false" customHeight="fals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2"/>
      <c r="M202" s="18"/>
      <c r="N202" s="12"/>
      <c r="O202" s="12"/>
      <c r="P202" s="12"/>
      <c r="Q202" s="18"/>
    </row>
    <row r="203" customFormat="false" ht="15" hidden="false" customHeight="fals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2"/>
      <c r="M203" s="18"/>
      <c r="N203" s="12"/>
      <c r="O203" s="12"/>
      <c r="P203" s="12"/>
      <c r="Q203" s="18"/>
    </row>
    <row r="204" customFormat="false" ht="15" hidden="false" customHeight="fals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2"/>
      <c r="M204" s="18"/>
      <c r="N204" s="12"/>
      <c r="O204" s="12"/>
      <c r="P204" s="12"/>
      <c r="Q204" s="18"/>
    </row>
    <row r="205" customFormat="false" ht="15" hidden="false" customHeight="fals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2"/>
      <c r="M205" s="18"/>
      <c r="N205" s="12"/>
      <c r="O205" s="12"/>
      <c r="P205" s="12"/>
      <c r="Q205" s="18"/>
    </row>
    <row r="206" customFormat="false" ht="15" hidden="false" customHeight="fals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2"/>
      <c r="M206" s="18"/>
      <c r="N206" s="12"/>
      <c r="O206" s="12"/>
      <c r="P206" s="12"/>
      <c r="Q206" s="18"/>
    </row>
    <row r="207" customFormat="false" ht="15" hidden="false" customHeight="fals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2"/>
      <c r="M207" s="18"/>
      <c r="N207" s="12"/>
      <c r="O207" s="12"/>
      <c r="P207" s="12"/>
      <c r="Q207" s="18"/>
    </row>
    <row r="208" customFormat="false" ht="15" hidden="false" customHeight="fals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2"/>
      <c r="M208" s="18"/>
      <c r="N208" s="12"/>
      <c r="O208" s="12"/>
      <c r="P208" s="12"/>
      <c r="Q208" s="18"/>
    </row>
    <row r="209" customFormat="false" ht="15" hidden="false" customHeight="fals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2"/>
      <c r="M209" s="18"/>
      <c r="N209" s="12"/>
      <c r="O209" s="12"/>
      <c r="P209" s="12"/>
      <c r="Q209" s="18"/>
    </row>
    <row r="210" customFormat="false" ht="15" hidden="false" customHeight="fals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2"/>
      <c r="M210" s="18"/>
      <c r="N210" s="12"/>
      <c r="O210" s="12"/>
      <c r="P210" s="12"/>
      <c r="Q210" s="18"/>
    </row>
    <row r="211" customFormat="false" ht="15" hidden="false" customHeight="fals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2"/>
      <c r="M211" s="18"/>
      <c r="N211" s="12"/>
      <c r="O211" s="12"/>
      <c r="P211" s="12"/>
      <c r="Q211" s="18"/>
    </row>
    <row r="212" customFormat="false" ht="15" hidden="false" customHeight="fals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2"/>
      <c r="M212" s="18"/>
      <c r="N212" s="12"/>
      <c r="O212" s="12"/>
      <c r="P212" s="12"/>
      <c r="Q212" s="18"/>
    </row>
    <row r="213" customFormat="false" ht="15" hidden="false" customHeight="fals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2"/>
      <c r="M213" s="18"/>
      <c r="N213" s="12"/>
      <c r="O213" s="12"/>
      <c r="P213" s="12"/>
      <c r="Q213" s="18"/>
    </row>
    <row r="214" customFormat="false" ht="15" hidden="false" customHeight="fals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2"/>
      <c r="M214" s="18"/>
      <c r="N214" s="12"/>
      <c r="O214" s="12"/>
      <c r="P214" s="12"/>
      <c r="Q214" s="18"/>
    </row>
    <row r="215" customFormat="false" ht="15" hidden="false" customHeight="fals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2"/>
      <c r="M215" s="18"/>
      <c r="N215" s="12"/>
      <c r="O215" s="12"/>
      <c r="P215" s="12"/>
      <c r="Q215" s="18"/>
    </row>
    <row r="216" customFormat="false" ht="15" hidden="false" customHeight="fals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2"/>
      <c r="M216" s="18"/>
      <c r="N216" s="12"/>
      <c r="O216" s="12"/>
      <c r="P216" s="12"/>
      <c r="Q216" s="18"/>
    </row>
    <row r="217" customFormat="false" ht="15" hidden="false" customHeight="fals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2"/>
      <c r="M217" s="18"/>
      <c r="N217" s="12"/>
      <c r="O217" s="12"/>
      <c r="P217" s="12"/>
      <c r="Q217" s="18"/>
    </row>
    <row r="218" customFormat="false" ht="15" hidden="false" customHeight="fals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2"/>
      <c r="M218" s="18"/>
      <c r="N218" s="12"/>
      <c r="O218" s="12"/>
      <c r="P218" s="12"/>
      <c r="Q218" s="18"/>
    </row>
    <row r="219" customFormat="false" ht="15" hidden="false" customHeight="fals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2"/>
      <c r="M219" s="18"/>
      <c r="N219" s="12"/>
      <c r="O219" s="12"/>
      <c r="P219" s="12"/>
      <c r="Q219" s="18"/>
    </row>
    <row r="220" customFormat="false" ht="15" hidden="false" customHeight="fals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2"/>
      <c r="M220" s="18"/>
      <c r="N220" s="12"/>
      <c r="O220" s="12"/>
      <c r="P220" s="12"/>
      <c r="Q220" s="18"/>
    </row>
    <row r="221" customFormat="false" ht="15" hidden="false" customHeight="fals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2"/>
      <c r="M221" s="18"/>
      <c r="N221" s="12"/>
      <c r="O221" s="12"/>
      <c r="P221" s="12"/>
      <c r="Q221" s="18"/>
    </row>
    <row r="222" customFormat="false" ht="15" hidden="false" customHeight="fals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2"/>
      <c r="M222" s="18"/>
      <c r="N222" s="12"/>
      <c r="O222" s="12"/>
      <c r="P222" s="12"/>
      <c r="Q222" s="18"/>
    </row>
    <row r="223" customFormat="false" ht="15" hidden="false" customHeight="fals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2"/>
      <c r="M223" s="18"/>
      <c r="N223" s="12"/>
      <c r="O223" s="12"/>
      <c r="P223" s="12"/>
      <c r="Q223" s="18"/>
    </row>
    <row r="224" customFormat="false" ht="15" hidden="false" customHeight="fals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2"/>
      <c r="M224" s="18"/>
      <c r="N224" s="12"/>
      <c r="O224" s="12"/>
      <c r="P224" s="12"/>
      <c r="Q224" s="18"/>
    </row>
    <row r="225" customFormat="false" ht="15" hidden="false" customHeight="fals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2"/>
      <c r="M225" s="18"/>
      <c r="N225" s="12"/>
      <c r="O225" s="12"/>
      <c r="P225" s="12"/>
      <c r="Q225" s="18"/>
    </row>
    <row r="226" customFormat="false" ht="15" hidden="false" customHeight="fals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2"/>
      <c r="M226" s="18"/>
      <c r="N226" s="12"/>
      <c r="O226" s="12"/>
      <c r="P226" s="12"/>
      <c r="Q226" s="18"/>
    </row>
    <row r="227" customFormat="false" ht="15" hidden="false" customHeight="fals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2"/>
      <c r="M227" s="18"/>
      <c r="N227" s="12"/>
      <c r="O227" s="12"/>
      <c r="P227" s="12"/>
      <c r="Q227" s="18"/>
    </row>
    <row r="228" customFormat="false" ht="15" hidden="false" customHeight="fals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2"/>
      <c r="M228" s="18"/>
      <c r="N228" s="12"/>
      <c r="O228" s="12"/>
      <c r="P228" s="12"/>
      <c r="Q228" s="18"/>
    </row>
    <row r="229" customFormat="false" ht="15" hidden="false" customHeight="fals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2"/>
      <c r="M229" s="18"/>
      <c r="N229" s="12"/>
      <c r="O229" s="12"/>
      <c r="P229" s="12"/>
      <c r="Q229" s="18"/>
    </row>
    <row r="230" customFormat="false" ht="15" hidden="false" customHeight="fals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2"/>
      <c r="M230" s="18"/>
      <c r="N230" s="12"/>
      <c r="O230" s="12"/>
      <c r="P230" s="12"/>
      <c r="Q230" s="18"/>
    </row>
    <row r="231" customFormat="false" ht="15" hidden="false" customHeight="fals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2"/>
      <c r="M231" s="18"/>
      <c r="N231" s="12"/>
      <c r="O231" s="12"/>
      <c r="P231" s="12"/>
      <c r="Q231" s="18"/>
    </row>
    <row r="232" customFormat="false" ht="15" hidden="false" customHeight="fals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2"/>
      <c r="M232" s="18"/>
      <c r="N232" s="12"/>
      <c r="O232" s="12"/>
      <c r="P232" s="12"/>
      <c r="Q232" s="18"/>
    </row>
    <row r="233" customFormat="false" ht="15" hidden="false" customHeight="fals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2"/>
      <c r="M233" s="18"/>
      <c r="N233" s="12"/>
      <c r="O233" s="12"/>
      <c r="P233" s="12"/>
      <c r="Q233" s="18"/>
    </row>
    <row r="234" customFormat="false" ht="15" hidden="false" customHeight="fals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2"/>
      <c r="M234" s="18"/>
      <c r="N234" s="12"/>
      <c r="O234" s="12"/>
      <c r="P234" s="12"/>
      <c r="Q234" s="18"/>
    </row>
    <row r="235" customFormat="false" ht="15" hidden="false" customHeight="fals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2"/>
      <c r="M235" s="18"/>
      <c r="N235" s="12"/>
      <c r="O235" s="12"/>
      <c r="P235" s="12"/>
      <c r="Q235" s="18"/>
    </row>
    <row r="236" customFormat="false" ht="15" hidden="false" customHeight="fals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2"/>
      <c r="M236" s="18"/>
      <c r="N236" s="12"/>
      <c r="O236" s="12"/>
      <c r="P236" s="12"/>
      <c r="Q236" s="18"/>
    </row>
    <row r="237" customFormat="false" ht="15" hidden="false" customHeight="fals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2"/>
      <c r="M237" s="18"/>
      <c r="N237" s="12"/>
      <c r="O237" s="12"/>
      <c r="P237" s="12"/>
      <c r="Q237" s="18"/>
    </row>
    <row r="238" customFormat="false" ht="15" hidden="false" customHeight="fals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2"/>
      <c r="M238" s="18"/>
      <c r="N238" s="12"/>
      <c r="O238" s="12"/>
      <c r="P238" s="12"/>
      <c r="Q238" s="18"/>
    </row>
    <row r="239" customFormat="false" ht="15" hidden="false" customHeight="fals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2"/>
      <c r="M239" s="18"/>
      <c r="N239" s="12"/>
      <c r="O239" s="12"/>
      <c r="P239" s="12"/>
      <c r="Q239" s="18"/>
    </row>
    <row r="240" customFormat="false" ht="15" hidden="false" customHeight="fals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2"/>
      <c r="M240" s="18"/>
      <c r="N240" s="12"/>
      <c r="O240" s="12"/>
      <c r="P240" s="12"/>
      <c r="Q240" s="18"/>
    </row>
    <row r="241" customFormat="false" ht="15" hidden="false" customHeight="fals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2"/>
      <c r="M241" s="18"/>
      <c r="N241" s="12"/>
      <c r="O241" s="12"/>
      <c r="P241" s="12"/>
      <c r="Q241" s="18"/>
    </row>
    <row r="242" customFormat="false" ht="15" hidden="false" customHeight="fals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2"/>
      <c r="M242" s="18"/>
      <c r="N242" s="12"/>
      <c r="O242" s="12"/>
      <c r="P242" s="12"/>
      <c r="Q242" s="18"/>
    </row>
    <row r="243" customFormat="false" ht="15" hidden="false" customHeight="fals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2"/>
      <c r="M243" s="18"/>
      <c r="N243" s="12"/>
      <c r="O243" s="12"/>
      <c r="P243" s="12"/>
      <c r="Q243" s="18"/>
    </row>
    <row r="244" customFormat="false" ht="15" hidden="false" customHeight="fals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2"/>
      <c r="M244" s="18"/>
      <c r="N244" s="12"/>
      <c r="O244" s="12"/>
      <c r="P244" s="12"/>
      <c r="Q244" s="18"/>
    </row>
    <row r="245" customFormat="false" ht="15" hidden="false" customHeight="fals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2"/>
      <c r="M245" s="18"/>
      <c r="N245" s="12"/>
      <c r="O245" s="12"/>
      <c r="P245" s="12"/>
      <c r="Q245" s="18"/>
    </row>
    <row r="246" customFormat="false" ht="15" hidden="false" customHeight="fals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2"/>
      <c r="M246" s="18"/>
      <c r="N246" s="12"/>
      <c r="O246" s="12"/>
      <c r="P246" s="12"/>
      <c r="Q246" s="18"/>
    </row>
    <row r="247" customFormat="false" ht="15" hidden="false" customHeight="fals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2"/>
      <c r="M247" s="18"/>
      <c r="N247" s="12"/>
      <c r="O247" s="12"/>
      <c r="P247" s="12"/>
      <c r="Q247" s="18"/>
    </row>
    <row r="248" customFormat="false" ht="15" hidden="false" customHeight="fals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2"/>
      <c r="M248" s="18"/>
      <c r="N248" s="12"/>
      <c r="O248" s="12"/>
      <c r="P248" s="12"/>
      <c r="Q248" s="18"/>
    </row>
    <row r="249" customFormat="false" ht="15" hidden="false" customHeight="fals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2"/>
      <c r="M249" s="18"/>
      <c r="N249" s="12"/>
      <c r="O249" s="12"/>
      <c r="P249" s="12"/>
      <c r="Q249" s="18"/>
    </row>
    <row r="250" customFormat="false" ht="15" hidden="false" customHeight="fals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2"/>
      <c r="M250" s="18"/>
      <c r="N250" s="12"/>
      <c r="O250" s="12"/>
      <c r="P250" s="12"/>
      <c r="Q250" s="18"/>
    </row>
    <row r="251" customFormat="false" ht="15" hidden="false" customHeight="fals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2"/>
      <c r="M251" s="18"/>
      <c r="N251" s="12"/>
      <c r="O251" s="12"/>
      <c r="P251" s="12"/>
      <c r="Q251" s="18"/>
    </row>
    <row r="252" customFormat="false" ht="15" hidden="false" customHeight="fals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2"/>
      <c r="M252" s="18"/>
      <c r="N252" s="12"/>
      <c r="O252" s="12"/>
      <c r="P252" s="12"/>
      <c r="Q252" s="18"/>
    </row>
    <row r="253" customFormat="false" ht="15" hidden="false" customHeight="fals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2"/>
      <c r="M253" s="18"/>
      <c r="N253" s="12"/>
      <c r="O253" s="12"/>
      <c r="P253" s="12"/>
      <c r="Q253" s="18"/>
    </row>
    <row r="254" customFormat="false" ht="15" hidden="false" customHeight="fals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2"/>
      <c r="M254" s="18"/>
      <c r="N254" s="12"/>
      <c r="O254" s="12"/>
      <c r="P254" s="12"/>
      <c r="Q254" s="18"/>
    </row>
    <row r="255" customFormat="false" ht="15" hidden="false" customHeight="fals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2"/>
      <c r="M255" s="18"/>
      <c r="N255" s="12"/>
      <c r="O255" s="12"/>
      <c r="P255" s="12"/>
      <c r="Q255" s="18"/>
    </row>
    <row r="256" customFormat="false" ht="15" hidden="false" customHeight="fals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2"/>
      <c r="M256" s="18"/>
      <c r="N256" s="12"/>
      <c r="O256" s="12"/>
      <c r="P256" s="12"/>
      <c r="Q256" s="18"/>
    </row>
    <row r="257" customFormat="false" ht="15" hidden="false" customHeight="fals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2"/>
      <c r="M257" s="18"/>
      <c r="N257" s="12"/>
      <c r="O257" s="12"/>
      <c r="P257" s="12"/>
      <c r="Q257" s="18"/>
    </row>
    <row r="258" customFormat="false" ht="15" hidden="false" customHeight="fals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2"/>
      <c r="M258" s="18"/>
      <c r="N258" s="12"/>
      <c r="O258" s="12"/>
      <c r="P258" s="12"/>
      <c r="Q258" s="18"/>
    </row>
    <row r="259" customFormat="false" ht="15" hidden="false" customHeight="fals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2"/>
      <c r="M259" s="18"/>
      <c r="N259" s="12"/>
      <c r="O259" s="12"/>
      <c r="P259" s="12"/>
      <c r="Q259" s="18"/>
    </row>
    <row r="260" customFormat="false" ht="15" hidden="false" customHeight="fals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2"/>
      <c r="M260" s="18"/>
      <c r="N260" s="12"/>
      <c r="O260" s="12"/>
      <c r="P260" s="12"/>
      <c r="Q260" s="18"/>
    </row>
    <row r="261" customFormat="false" ht="15" hidden="false" customHeight="fals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2"/>
      <c r="M261" s="18"/>
      <c r="N261" s="12"/>
      <c r="O261" s="12"/>
      <c r="P261" s="12"/>
      <c r="Q261" s="18"/>
    </row>
    <row r="262" customFormat="false" ht="15" hidden="false" customHeight="fals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2"/>
      <c r="M262" s="18"/>
      <c r="N262" s="12"/>
      <c r="O262" s="12"/>
      <c r="P262" s="12"/>
      <c r="Q262" s="18"/>
    </row>
    <row r="263" customFormat="false" ht="15" hidden="false" customHeight="fals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2"/>
      <c r="M263" s="18"/>
      <c r="N263" s="12"/>
      <c r="O263" s="12"/>
      <c r="P263" s="12"/>
      <c r="Q263" s="18"/>
    </row>
    <row r="264" customFormat="false" ht="15" hidden="false" customHeight="fals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2"/>
      <c r="M264" s="18"/>
      <c r="N264" s="12"/>
      <c r="O264" s="12"/>
      <c r="P264" s="12"/>
      <c r="Q264" s="18"/>
    </row>
    <row r="265" customFormat="false" ht="15" hidden="false" customHeight="fals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2"/>
      <c r="M265" s="18"/>
      <c r="N265" s="12"/>
      <c r="O265" s="12"/>
      <c r="P265" s="12"/>
      <c r="Q265" s="18"/>
    </row>
    <row r="266" customFormat="false" ht="15" hidden="false" customHeight="fals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2"/>
      <c r="M266" s="18"/>
      <c r="N266" s="12"/>
      <c r="O266" s="12"/>
      <c r="P266" s="12"/>
      <c r="Q266" s="18"/>
    </row>
    <row r="267" customFormat="false" ht="15" hidden="false" customHeight="fals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2"/>
      <c r="M267" s="18"/>
      <c r="N267" s="12"/>
      <c r="O267" s="12"/>
      <c r="P267" s="12"/>
      <c r="Q267" s="18"/>
    </row>
    <row r="268" customFormat="false" ht="15" hidden="false" customHeight="fals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2"/>
      <c r="M268" s="18"/>
      <c r="N268" s="12"/>
      <c r="O268" s="12"/>
      <c r="P268" s="12"/>
      <c r="Q268" s="18"/>
    </row>
    <row r="269" customFormat="false" ht="15" hidden="false" customHeight="fals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2"/>
      <c r="M269" s="18"/>
      <c r="N269" s="12"/>
      <c r="O269" s="12"/>
      <c r="P269" s="12"/>
      <c r="Q269" s="18"/>
    </row>
    <row r="270" customFormat="false" ht="15" hidden="false" customHeight="fals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2"/>
      <c r="M270" s="18"/>
      <c r="N270" s="12"/>
      <c r="O270" s="12"/>
      <c r="P270" s="12"/>
      <c r="Q270" s="18"/>
    </row>
    <row r="271" customFormat="false" ht="15" hidden="false" customHeight="fals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2"/>
      <c r="M271" s="18"/>
      <c r="N271" s="12"/>
      <c r="O271" s="12"/>
      <c r="P271" s="12"/>
      <c r="Q271" s="18"/>
    </row>
    <row r="272" customFormat="false" ht="15" hidden="false" customHeight="fals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2"/>
      <c r="M272" s="18"/>
      <c r="N272" s="12"/>
      <c r="O272" s="12"/>
      <c r="P272" s="12"/>
      <c r="Q272" s="18"/>
    </row>
    <row r="273" customFormat="false" ht="15" hidden="false" customHeight="fals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2"/>
      <c r="M273" s="18"/>
      <c r="N273" s="12"/>
      <c r="O273" s="12"/>
      <c r="P273" s="12"/>
      <c r="Q273" s="18"/>
    </row>
    <row r="274" customFormat="false" ht="15" hidden="false" customHeight="fals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2"/>
      <c r="M274" s="18"/>
      <c r="N274" s="12"/>
      <c r="O274" s="12"/>
      <c r="P274" s="12"/>
      <c r="Q274" s="18"/>
    </row>
    <row r="275" customFormat="false" ht="15" hidden="false" customHeight="fals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2"/>
      <c r="M275" s="18"/>
      <c r="N275" s="12"/>
      <c r="O275" s="12"/>
      <c r="P275" s="12"/>
      <c r="Q275" s="18"/>
    </row>
    <row r="276" customFormat="false" ht="15" hidden="false" customHeight="fals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2"/>
      <c r="M276" s="18"/>
      <c r="N276" s="12"/>
      <c r="O276" s="12"/>
      <c r="P276" s="12"/>
      <c r="Q276" s="18"/>
    </row>
    <row r="277" customFormat="false" ht="15" hidden="false" customHeight="fals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2"/>
      <c r="M277" s="18"/>
      <c r="N277" s="12"/>
      <c r="O277" s="12"/>
      <c r="P277" s="12"/>
      <c r="Q277" s="18"/>
    </row>
    <row r="278" customFormat="false" ht="15" hidden="false" customHeight="fals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2"/>
      <c r="M278" s="18"/>
      <c r="N278" s="12"/>
      <c r="O278" s="12"/>
      <c r="P278" s="12"/>
      <c r="Q278" s="18"/>
    </row>
    <row r="279" customFormat="false" ht="15" hidden="false" customHeight="fals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2"/>
      <c r="M279" s="18"/>
      <c r="N279" s="12"/>
      <c r="O279" s="12"/>
      <c r="P279" s="12"/>
      <c r="Q279" s="18"/>
    </row>
    <row r="280" customFormat="false" ht="15" hidden="false" customHeight="fals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2"/>
      <c r="M280" s="18"/>
      <c r="N280" s="12"/>
      <c r="O280" s="12"/>
      <c r="P280" s="12"/>
      <c r="Q280" s="18"/>
    </row>
    <row r="281" customFormat="false" ht="15" hidden="false" customHeight="fals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2"/>
      <c r="M281" s="18"/>
      <c r="N281" s="12"/>
      <c r="O281" s="12"/>
      <c r="P281" s="12"/>
      <c r="Q281" s="18"/>
    </row>
    <row r="282" customFormat="false" ht="15" hidden="false" customHeight="fals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2"/>
      <c r="M282" s="18"/>
      <c r="N282" s="12"/>
      <c r="O282" s="12"/>
      <c r="P282" s="12"/>
      <c r="Q282" s="18"/>
    </row>
    <row r="283" customFormat="false" ht="15" hidden="false" customHeight="fals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2"/>
      <c r="M283" s="18"/>
      <c r="N283" s="12"/>
      <c r="O283" s="12"/>
      <c r="P283" s="12"/>
      <c r="Q283" s="18"/>
    </row>
    <row r="284" customFormat="false" ht="15" hidden="false" customHeight="fals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2"/>
      <c r="M284" s="18"/>
      <c r="N284" s="12"/>
      <c r="O284" s="12"/>
      <c r="P284" s="12"/>
      <c r="Q284" s="18"/>
    </row>
    <row r="285" customFormat="false" ht="15" hidden="false" customHeight="fals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2"/>
      <c r="M285" s="18"/>
      <c r="N285" s="12"/>
      <c r="O285" s="12"/>
      <c r="P285" s="12"/>
      <c r="Q285" s="18"/>
    </row>
    <row r="286" customFormat="false" ht="15" hidden="false" customHeight="fals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2"/>
      <c r="M286" s="18"/>
      <c r="N286" s="12"/>
      <c r="O286" s="12"/>
      <c r="P286" s="12"/>
      <c r="Q286" s="18"/>
    </row>
    <row r="287" customFormat="false" ht="15" hidden="false" customHeight="fals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2"/>
      <c r="M287" s="18"/>
      <c r="N287" s="12"/>
      <c r="O287" s="12"/>
      <c r="P287" s="12"/>
      <c r="Q287" s="18"/>
    </row>
    <row r="288" customFormat="false" ht="15" hidden="false" customHeight="fals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2"/>
      <c r="M288" s="18"/>
      <c r="N288" s="12"/>
      <c r="O288" s="12"/>
      <c r="P288" s="12"/>
      <c r="Q288" s="18"/>
    </row>
    <row r="289" customFormat="false" ht="15" hidden="false" customHeight="fals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2"/>
      <c r="M289" s="18"/>
      <c r="N289" s="12"/>
      <c r="O289" s="12"/>
      <c r="P289" s="12"/>
      <c r="Q289" s="18"/>
    </row>
    <row r="290" customFormat="false" ht="15" hidden="false" customHeight="fals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2"/>
      <c r="M290" s="18"/>
      <c r="N290" s="12"/>
      <c r="O290" s="12"/>
      <c r="P290" s="12"/>
      <c r="Q290" s="18"/>
    </row>
    <row r="291" customFormat="false" ht="15" hidden="false" customHeight="fals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2"/>
      <c r="M291" s="18"/>
      <c r="N291" s="12"/>
      <c r="O291" s="12"/>
      <c r="P291" s="12"/>
      <c r="Q291" s="18"/>
    </row>
    <row r="292" customFormat="false" ht="15" hidden="false" customHeight="fals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2"/>
      <c r="M292" s="18"/>
      <c r="N292" s="12"/>
      <c r="O292" s="12"/>
      <c r="P292" s="12"/>
      <c r="Q292" s="18"/>
    </row>
    <row r="293" customFormat="false" ht="15" hidden="false" customHeight="fals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2"/>
      <c r="M293" s="18"/>
      <c r="N293" s="12"/>
      <c r="O293" s="12"/>
      <c r="P293" s="12"/>
      <c r="Q293" s="18"/>
    </row>
    <row r="294" customFormat="false" ht="15" hidden="false" customHeight="fals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2"/>
      <c r="M294" s="18"/>
      <c r="N294" s="12"/>
      <c r="O294" s="12"/>
      <c r="P294" s="12"/>
      <c r="Q294" s="18"/>
    </row>
    <row r="295" customFormat="false" ht="15" hidden="false" customHeight="fals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2"/>
      <c r="M295" s="18"/>
      <c r="N295" s="12"/>
      <c r="O295" s="12"/>
      <c r="P295" s="12"/>
      <c r="Q295" s="18"/>
    </row>
    <row r="296" customFormat="false" ht="15" hidden="false" customHeight="fals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2"/>
      <c r="M296" s="18"/>
      <c r="N296" s="12"/>
      <c r="O296" s="12"/>
      <c r="P296" s="12"/>
      <c r="Q296" s="18"/>
    </row>
    <row r="297" customFormat="false" ht="15" hidden="false" customHeight="fals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2"/>
      <c r="M297" s="18"/>
      <c r="N297" s="12"/>
      <c r="O297" s="12"/>
      <c r="P297" s="12"/>
      <c r="Q297" s="18"/>
    </row>
    <row r="298" customFormat="false" ht="15" hidden="false" customHeight="fals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2"/>
      <c r="M298" s="18"/>
      <c r="N298" s="12"/>
      <c r="O298" s="12"/>
      <c r="P298" s="12"/>
      <c r="Q298" s="18"/>
    </row>
    <row r="299" customFormat="false" ht="15" hidden="false" customHeight="fals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2"/>
      <c r="M299" s="18"/>
      <c r="N299" s="12"/>
      <c r="O299" s="12"/>
      <c r="P299" s="12"/>
      <c r="Q299" s="18"/>
    </row>
    <row r="300" customFormat="false" ht="15" hidden="false" customHeight="fals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2"/>
      <c r="M300" s="18"/>
      <c r="N300" s="12"/>
      <c r="O300" s="12"/>
      <c r="P300" s="12"/>
      <c r="Q300" s="18"/>
    </row>
    <row r="301" customFormat="false" ht="15" hidden="false" customHeight="fals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2"/>
      <c r="M301" s="18"/>
      <c r="N301" s="12"/>
      <c r="O301" s="12"/>
      <c r="P301" s="12"/>
      <c r="Q301" s="18"/>
    </row>
    <row r="302" customFormat="false" ht="15" hidden="false" customHeight="fals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2"/>
      <c r="M302" s="18"/>
      <c r="N302" s="12"/>
      <c r="O302" s="12"/>
      <c r="P302" s="12"/>
      <c r="Q302" s="18"/>
    </row>
    <row r="303" customFormat="false" ht="15" hidden="false" customHeight="fals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2"/>
      <c r="M303" s="18"/>
      <c r="N303" s="12"/>
      <c r="O303" s="12"/>
      <c r="P303" s="12"/>
      <c r="Q303" s="18"/>
    </row>
    <row r="304" customFormat="false" ht="15" hidden="false" customHeight="fals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2"/>
      <c r="M304" s="18"/>
      <c r="N304" s="12"/>
      <c r="O304" s="12"/>
      <c r="P304" s="12"/>
      <c r="Q304" s="18"/>
    </row>
    <row r="305" customFormat="false" ht="15" hidden="false" customHeight="fals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2"/>
      <c r="M305" s="18"/>
      <c r="N305" s="12"/>
      <c r="O305" s="12"/>
      <c r="P305" s="12"/>
      <c r="Q305" s="18"/>
    </row>
    <row r="306" customFormat="false" ht="15" hidden="false" customHeight="fals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2"/>
      <c r="M306" s="18"/>
      <c r="N306" s="12"/>
      <c r="O306" s="12"/>
      <c r="P306" s="12"/>
      <c r="Q306" s="18"/>
    </row>
    <row r="307" customFormat="false" ht="15" hidden="false" customHeight="fals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2"/>
      <c r="M307" s="18"/>
      <c r="N307" s="12"/>
      <c r="O307" s="12"/>
      <c r="P307" s="12"/>
      <c r="Q307" s="18"/>
    </row>
    <row r="308" customFormat="false" ht="15" hidden="false" customHeight="fals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2"/>
      <c r="M308" s="18"/>
      <c r="N308" s="12"/>
      <c r="O308" s="12"/>
      <c r="P308" s="12"/>
      <c r="Q308" s="18"/>
    </row>
    <row r="309" customFormat="false" ht="15" hidden="false" customHeight="fals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2"/>
      <c r="M309" s="18"/>
      <c r="N309" s="12"/>
      <c r="O309" s="12"/>
      <c r="P309" s="12"/>
      <c r="Q309" s="18"/>
    </row>
    <row r="310" customFormat="false" ht="15" hidden="false" customHeight="fals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2"/>
      <c r="M310" s="18"/>
      <c r="N310" s="12"/>
      <c r="O310" s="12"/>
      <c r="P310" s="12"/>
      <c r="Q310" s="18"/>
    </row>
    <row r="311" customFormat="false" ht="15" hidden="false" customHeight="fals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2"/>
      <c r="M311" s="18"/>
      <c r="N311" s="12"/>
      <c r="O311" s="12"/>
      <c r="P311" s="12"/>
      <c r="Q311" s="18"/>
    </row>
    <row r="312" customFormat="false" ht="15" hidden="false" customHeight="fals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2"/>
      <c r="M312" s="18"/>
      <c r="N312" s="12"/>
      <c r="O312" s="12"/>
      <c r="P312" s="12"/>
      <c r="Q312" s="18"/>
    </row>
    <row r="313" customFormat="false" ht="15" hidden="false" customHeight="fals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2"/>
      <c r="M313" s="18"/>
      <c r="N313" s="12"/>
      <c r="O313" s="12"/>
      <c r="P313" s="12"/>
      <c r="Q313" s="18"/>
    </row>
    <row r="314" customFormat="false" ht="15" hidden="false" customHeight="fals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2"/>
      <c r="M314" s="18"/>
      <c r="N314" s="12"/>
      <c r="O314" s="12"/>
      <c r="P314" s="12"/>
      <c r="Q314" s="18"/>
    </row>
    <row r="315" customFormat="false" ht="15" hidden="false" customHeight="fals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2"/>
      <c r="M315" s="18"/>
      <c r="N315" s="12"/>
      <c r="O315" s="12"/>
      <c r="P315" s="12"/>
      <c r="Q315" s="18"/>
    </row>
    <row r="316" customFormat="false" ht="15" hidden="false" customHeight="fals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2"/>
      <c r="M316" s="18"/>
      <c r="N316" s="12"/>
      <c r="O316" s="12"/>
      <c r="P316" s="12"/>
      <c r="Q316" s="18"/>
    </row>
    <row r="317" customFormat="false" ht="15" hidden="false" customHeight="fals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2"/>
      <c r="M317" s="18"/>
      <c r="N317" s="12"/>
      <c r="O317" s="12"/>
      <c r="P317" s="12"/>
      <c r="Q317" s="18"/>
    </row>
    <row r="318" customFormat="false" ht="15" hidden="false" customHeight="fals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2"/>
      <c r="M318" s="18"/>
      <c r="N318" s="12"/>
      <c r="O318" s="12"/>
      <c r="P318" s="12"/>
      <c r="Q318" s="18"/>
    </row>
    <row r="319" customFormat="false" ht="15" hidden="false" customHeight="fals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2"/>
      <c r="M319" s="18"/>
      <c r="N319" s="12"/>
      <c r="O319" s="12"/>
      <c r="P319" s="12"/>
      <c r="Q319" s="18"/>
    </row>
    <row r="320" customFormat="false" ht="15" hidden="false" customHeight="fals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2"/>
      <c r="M320" s="18"/>
      <c r="N320" s="12"/>
      <c r="O320" s="12"/>
      <c r="P320" s="12"/>
      <c r="Q320" s="18"/>
    </row>
    <row r="321" customFormat="false" ht="15" hidden="false" customHeight="fals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2"/>
      <c r="M321" s="18"/>
      <c r="N321" s="12"/>
      <c r="O321" s="12"/>
      <c r="P321" s="12"/>
      <c r="Q321" s="18"/>
    </row>
    <row r="322" customFormat="false" ht="15" hidden="false" customHeight="fals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2"/>
      <c r="M322" s="18"/>
      <c r="N322" s="12"/>
      <c r="O322" s="12"/>
      <c r="P322" s="12"/>
      <c r="Q322" s="18"/>
    </row>
    <row r="323" customFormat="false" ht="15" hidden="false" customHeight="fals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2"/>
      <c r="M323" s="18"/>
      <c r="N323" s="12"/>
      <c r="O323" s="12"/>
      <c r="P323" s="12"/>
      <c r="Q323" s="18"/>
    </row>
    <row r="324" customFormat="false" ht="15" hidden="false" customHeight="fals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2"/>
      <c r="M324" s="18"/>
      <c r="N324" s="12"/>
      <c r="O324" s="12"/>
      <c r="P324" s="12"/>
      <c r="Q324" s="18"/>
    </row>
    <row r="325" customFormat="false" ht="15" hidden="false" customHeight="fals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2"/>
      <c r="M325" s="18"/>
      <c r="N325" s="12"/>
      <c r="O325" s="12"/>
      <c r="P325" s="12"/>
      <c r="Q325" s="18"/>
    </row>
    <row r="326" customFormat="false" ht="15" hidden="false" customHeight="fals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2"/>
      <c r="M326" s="18"/>
      <c r="N326" s="12"/>
      <c r="O326" s="12"/>
      <c r="P326" s="12"/>
      <c r="Q326" s="18"/>
    </row>
    <row r="327" customFormat="false" ht="15" hidden="false" customHeight="fals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2"/>
      <c r="M327" s="18"/>
      <c r="N327" s="12"/>
      <c r="O327" s="12"/>
      <c r="P327" s="12"/>
      <c r="Q327" s="18"/>
    </row>
    <row r="328" customFormat="false" ht="15" hidden="false" customHeight="fals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2"/>
      <c r="M328" s="18"/>
      <c r="N328" s="12"/>
      <c r="O328" s="12"/>
      <c r="P328" s="12"/>
      <c r="Q328" s="18"/>
    </row>
    <row r="329" customFormat="false" ht="15" hidden="false" customHeight="fals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2"/>
      <c r="M329" s="18"/>
      <c r="N329" s="12"/>
      <c r="O329" s="12"/>
      <c r="P329" s="12"/>
      <c r="Q329" s="18"/>
    </row>
    <row r="330" customFormat="false" ht="15" hidden="false" customHeight="fals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2"/>
      <c r="M330" s="18"/>
      <c r="N330" s="12"/>
      <c r="O330" s="12"/>
      <c r="P330" s="12"/>
      <c r="Q330" s="18"/>
    </row>
    <row r="331" customFormat="false" ht="15" hidden="false" customHeight="fals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2"/>
      <c r="M331" s="18"/>
      <c r="N331" s="12"/>
      <c r="O331" s="12"/>
      <c r="P331" s="12"/>
      <c r="Q331" s="18"/>
    </row>
    <row r="332" customFormat="false" ht="15" hidden="false" customHeight="fals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2"/>
      <c r="M332" s="18"/>
      <c r="N332" s="12"/>
      <c r="O332" s="12"/>
      <c r="P332" s="12"/>
      <c r="Q332" s="18"/>
    </row>
    <row r="333" customFormat="false" ht="15" hidden="false" customHeight="fals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2"/>
      <c r="M333" s="18"/>
      <c r="N333" s="12"/>
      <c r="O333" s="12"/>
      <c r="P333" s="12"/>
      <c r="Q333" s="18"/>
    </row>
    <row r="334" customFormat="false" ht="15" hidden="false" customHeight="fals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2"/>
      <c r="M334" s="18"/>
      <c r="N334" s="12"/>
      <c r="O334" s="12"/>
      <c r="P334" s="12"/>
      <c r="Q334" s="18"/>
    </row>
    <row r="335" customFormat="false" ht="15" hidden="false" customHeight="fals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2"/>
      <c r="M335" s="18"/>
      <c r="N335" s="12"/>
      <c r="O335" s="12"/>
      <c r="P335" s="12"/>
      <c r="Q335" s="18"/>
    </row>
    <row r="336" customFormat="false" ht="15" hidden="false" customHeight="fals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2"/>
      <c r="M336" s="18"/>
      <c r="N336" s="12"/>
      <c r="O336" s="12"/>
      <c r="P336" s="12"/>
      <c r="Q336" s="18"/>
    </row>
    <row r="337" customFormat="false" ht="15" hidden="false" customHeight="fals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2"/>
      <c r="M337" s="18"/>
      <c r="N337" s="12"/>
      <c r="O337" s="12"/>
      <c r="P337" s="12"/>
      <c r="Q337" s="18"/>
    </row>
    <row r="338" customFormat="false" ht="15" hidden="false" customHeight="fals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2"/>
      <c r="M338" s="18"/>
      <c r="N338" s="12"/>
      <c r="O338" s="12"/>
      <c r="P338" s="12"/>
      <c r="Q338" s="18"/>
    </row>
    <row r="339" customFormat="false" ht="15" hidden="false" customHeight="fals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2"/>
      <c r="M339" s="18"/>
      <c r="N339" s="12"/>
      <c r="O339" s="12"/>
      <c r="P339" s="12"/>
      <c r="Q339" s="18"/>
    </row>
    <row r="340" customFormat="false" ht="15" hidden="false" customHeight="fals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2"/>
      <c r="M340" s="18"/>
      <c r="N340" s="12"/>
      <c r="O340" s="12"/>
      <c r="P340" s="12"/>
      <c r="Q340" s="18"/>
    </row>
    <row r="341" customFormat="false" ht="15" hidden="false" customHeight="fals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2"/>
      <c r="M341" s="18"/>
      <c r="N341" s="12"/>
      <c r="O341" s="12"/>
      <c r="P341" s="12"/>
      <c r="Q341" s="18"/>
    </row>
    <row r="342" customFormat="false" ht="15" hidden="false" customHeight="fals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2"/>
      <c r="M342" s="18"/>
      <c r="N342" s="12"/>
      <c r="O342" s="12"/>
      <c r="P342" s="12"/>
      <c r="Q342" s="18"/>
    </row>
    <row r="343" customFormat="false" ht="15" hidden="false" customHeight="fals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2"/>
      <c r="M343" s="18"/>
      <c r="N343" s="12"/>
      <c r="O343" s="12"/>
      <c r="P343" s="12"/>
      <c r="Q343" s="18"/>
    </row>
    <row r="344" customFormat="false" ht="15" hidden="false" customHeight="fals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2"/>
      <c r="M344" s="18"/>
      <c r="N344" s="12"/>
      <c r="O344" s="12"/>
      <c r="P344" s="12"/>
      <c r="Q344" s="18"/>
    </row>
    <row r="345" customFormat="false" ht="15" hidden="false" customHeight="fals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2"/>
      <c r="M345" s="18"/>
      <c r="N345" s="12"/>
      <c r="O345" s="12"/>
      <c r="P345" s="12"/>
      <c r="Q345" s="18"/>
    </row>
    <row r="346" customFormat="false" ht="15" hidden="false" customHeight="fals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2"/>
      <c r="M346" s="18"/>
      <c r="N346" s="12"/>
      <c r="O346" s="12"/>
      <c r="P346" s="12"/>
      <c r="Q346" s="18"/>
    </row>
    <row r="347" customFormat="false" ht="15" hidden="false" customHeight="fals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2"/>
      <c r="M347" s="18"/>
      <c r="N347" s="12"/>
      <c r="O347" s="12"/>
      <c r="P347" s="12"/>
      <c r="Q347" s="18"/>
    </row>
    <row r="348" customFormat="false" ht="15" hidden="false" customHeight="fals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2"/>
      <c r="M348" s="18"/>
      <c r="N348" s="12"/>
      <c r="O348" s="12"/>
      <c r="P348" s="12"/>
      <c r="Q348" s="18"/>
    </row>
    <row r="349" customFormat="false" ht="15" hidden="false" customHeight="fals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2"/>
      <c r="M349" s="18"/>
      <c r="N349" s="12"/>
      <c r="O349" s="12"/>
      <c r="P349" s="12"/>
      <c r="Q349" s="18"/>
    </row>
    <row r="350" customFormat="false" ht="15" hidden="false" customHeight="fals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2"/>
      <c r="M350" s="18"/>
      <c r="N350" s="12"/>
      <c r="O350" s="12"/>
      <c r="P350" s="12"/>
      <c r="Q350" s="18"/>
    </row>
    <row r="351" customFormat="false" ht="15" hidden="false" customHeight="fals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2"/>
      <c r="M351" s="18"/>
      <c r="N351" s="12"/>
      <c r="O351" s="12"/>
      <c r="P351" s="12"/>
      <c r="Q351" s="18"/>
    </row>
    <row r="352" customFormat="false" ht="15" hidden="false" customHeight="fals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2"/>
      <c r="M352" s="18"/>
      <c r="N352" s="12"/>
      <c r="O352" s="12"/>
      <c r="P352" s="12"/>
      <c r="Q352" s="18"/>
    </row>
    <row r="353" customFormat="false" ht="15" hidden="false" customHeight="fals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2"/>
      <c r="M353" s="18"/>
      <c r="N353" s="12"/>
      <c r="O353" s="12"/>
      <c r="P353" s="12"/>
      <c r="Q353" s="18"/>
    </row>
    <row r="354" customFormat="false" ht="15" hidden="false" customHeight="fals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2"/>
      <c r="M354" s="18"/>
      <c r="N354" s="12"/>
      <c r="O354" s="12"/>
      <c r="P354" s="12"/>
      <c r="Q354" s="18"/>
    </row>
    <row r="355" customFormat="false" ht="15" hidden="false" customHeight="fals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2"/>
      <c r="M355" s="18"/>
      <c r="N355" s="12"/>
      <c r="O355" s="12"/>
      <c r="P355" s="12"/>
      <c r="Q355" s="18"/>
    </row>
    <row r="356" customFormat="false" ht="15" hidden="false" customHeight="fals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2"/>
      <c r="M356" s="18"/>
      <c r="N356" s="12"/>
      <c r="O356" s="12"/>
      <c r="P356" s="12"/>
      <c r="Q356" s="18"/>
    </row>
    <row r="357" customFormat="false" ht="15" hidden="false" customHeight="fals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2"/>
      <c r="M357" s="18"/>
      <c r="N357" s="12"/>
      <c r="O357" s="12"/>
      <c r="P357" s="12"/>
      <c r="Q357" s="18"/>
    </row>
    <row r="358" customFormat="false" ht="15" hidden="false" customHeight="fals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2"/>
      <c r="M358" s="18"/>
      <c r="N358" s="12"/>
      <c r="O358" s="12"/>
      <c r="P358" s="12"/>
      <c r="Q358" s="18"/>
    </row>
    <row r="359" customFormat="false" ht="15" hidden="false" customHeight="fals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2"/>
      <c r="M359" s="18"/>
      <c r="N359" s="12"/>
      <c r="O359" s="12"/>
      <c r="P359" s="12"/>
      <c r="Q359" s="18"/>
    </row>
    <row r="360" customFormat="false" ht="15" hidden="false" customHeight="fals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2"/>
      <c r="M360" s="18"/>
      <c r="N360" s="12"/>
      <c r="O360" s="12"/>
      <c r="P360" s="12"/>
      <c r="Q360" s="18"/>
    </row>
    <row r="361" customFormat="false" ht="15" hidden="false" customHeight="fals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2"/>
      <c r="M361" s="18"/>
      <c r="N361" s="12"/>
      <c r="O361" s="12"/>
      <c r="P361" s="12"/>
      <c r="Q361" s="18"/>
    </row>
    <row r="362" customFormat="false" ht="15" hidden="false" customHeight="fals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2"/>
      <c r="M362" s="18"/>
      <c r="N362" s="12"/>
      <c r="O362" s="12"/>
      <c r="P362" s="12"/>
      <c r="Q362" s="18"/>
    </row>
    <row r="363" customFormat="false" ht="15" hidden="false" customHeight="fals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2"/>
      <c r="M363" s="18"/>
      <c r="N363" s="12"/>
      <c r="O363" s="12"/>
      <c r="P363" s="12"/>
      <c r="Q363" s="18"/>
    </row>
    <row r="364" customFormat="false" ht="15" hidden="false" customHeight="fals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2"/>
      <c r="M364" s="18"/>
      <c r="N364" s="12"/>
      <c r="O364" s="12"/>
      <c r="P364" s="12"/>
      <c r="Q364" s="18"/>
    </row>
    <row r="365" customFormat="false" ht="15" hidden="false" customHeight="fals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2"/>
      <c r="M365" s="18"/>
      <c r="N365" s="12"/>
      <c r="O365" s="12"/>
      <c r="P365" s="12"/>
      <c r="Q365" s="18"/>
    </row>
    <row r="366" customFormat="false" ht="15" hidden="false" customHeight="fals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2"/>
      <c r="M366" s="18"/>
      <c r="N366" s="12"/>
      <c r="O366" s="12"/>
      <c r="P366" s="12"/>
      <c r="Q366" s="18"/>
    </row>
    <row r="367" customFormat="false" ht="15" hidden="false" customHeight="fals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2"/>
      <c r="M367" s="18"/>
      <c r="N367" s="12"/>
      <c r="O367" s="12"/>
      <c r="P367" s="12"/>
      <c r="Q367" s="18"/>
    </row>
    <row r="368" customFormat="false" ht="15" hidden="false" customHeight="fals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2"/>
      <c r="M368" s="18"/>
      <c r="N368" s="12"/>
      <c r="O368" s="12"/>
      <c r="P368" s="12"/>
      <c r="Q368" s="18"/>
    </row>
    <row r="369" customFormat="false" ht="15" hidden="false" customHeight="fals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2"/>
      <c r="M369" s="18"/>
      <c r="N369" s="12"/>
      <c r="O369" s="12"/>
      <c r="P369" s="12"/>
      <c r="Q369" s="18"/>
    </row>
    <row r="370" customFormat="false" ht="15" hidden="false" customHeight="fals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2"/>
      <c r="M370" s="18"/>
      <c r="N370" s="12"/>
      <c r="O370" s="12"/>
      <c r="P370" s="12"/>
      <c r="Q370" s="18"/>
    </row>
    <row r="371" customFormat="false" ht="15" hidden="false" customHeight="fals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2"/>
      <c r="M371" s="18"/>
      <c r="N371" s="12"/>
      <c r="O371" s="12"/>
      <c r="P371" s="12"/>
      <c r="Q371" s="18"/>
    </row>
    <row r="372" customFormat="false" ht="15" hidden="false" customHeight="fals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2"/>
      <c r="M372" s="18"/>
      <c r="N372" s="12"/>
      <c r="O372" s="12"/>
      <c r="P372" s="12"/>
      <c r="Q372" s="18"/>
    </row>
    <row r="373" customFormat="false" ht="15" hidden="false" customHeight="fals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2"/>
      <c r="M373" s="18"/>
      <c r="N373" s="12"/>
      <c r="O373" s="12"/>
      <c r="P373" s="12"/>
      <c r="Q373" s="18"/>
    </row>
    <row r="374" customFormat="false" ht="15" hidden="false" customHeight="fals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2"/>
      <c r="M374" s="18"/>
      <c r="N374" s="12"/>
      <c r="O374" s="12"/>
      <c r="P374" s="12"/>
      <c r="Q374" s="18"/>
    </row>
    <row r="375" customFormat="false" ht="15" hidden="false" customHeight="fals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2"/>
      <c r="M375" s="18"/>
      <c r="N375" s="12"/>
      <c r="O375" s="12"/>
      <c r="P375" s="12"/>
      <c r="Q375" s="18"/>
    </row>
    <row r="376" customFormat="false" ht="15" hidden="false" customHeight="fals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2"/>
      <c r="M376" s="18"/>
      <c r="N376" s="12"/>
      <c r="O376" s="12"/>
      <c r="P376" s="12"/>
      <c r="Q376" s="18"/>
    </row>
    <row r="377" customFormat="false" ht="15" hidden="false" customHeight="fals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2"/>
      <c r="M377" s="18"/>
      <c r="N377" s="12"/>
      <c r="O377" s="12"/>
      <c r="P377" s="12"/>
      <c r="Q377" s="18"/>
    </row>
    <row r="378" customFormat="false" ht="15" hidden="false" customHeight="fals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2"/>
      <c r="M378" s="18"/>
      <c r="N378" s="12"/>
      <c r="O378" s="12"/>
      <c r="P378" s="12"/>
      <c r="Q378" s="18"/>
    </row>
    <row r="379" customFormat="false" ht="15" hidden="false" customHeight="fals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2"/>
      <c r="M379" s="18"/>
      <c r="N379" s="12"/>
      <c r="O379" s="12"/>
      <c r="P379" s="12"/>
      <c r="Q379" s="18"/>
    </row>
    <row r="380" customFormat="false" ht="15" hidden="false" customHeight="fals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2"/>
      <c r="M380" s="18"/>
      <c r="N380" s="12"/>
      <c r="O380" s="12"/>
      <c r="P380" s="12"/>
      <c r="Q380" s="18"/>
    </row>
    <row r="381" customFormat="false" ht="15" hidden="false" customHeight="fals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2"/>
      <c r="M381" s="18"/>
      <c r="N381" s="12"/>
      <c r="O381" s="12"/>
      <c r="P381" s="12"/>
      <c r="Q381" s="18"/>
    </row>
    <row r="382" customFormat="false" ht="15" hidden="false" customHeight="fals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2"/>
      <c r="M382" s="18"/>
      <c r="N382" s="12"/>
      <c r="O382" s="12"/>
      <c r="P382" s="12"/>
      <c r="Q382" s="18"/>
    </row>
    <row r="383" customFormat="false" ht="15" hidden="false" customHeight="fals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2"/>
      <c r="M383" s="18"/>
      <c r="N383" s="12"/>
      <c r="O383" s="12"/>
      <c r="P383" s="12"/>
      <c r="Q383" s="18"/>
    </row>
    <row r="384" customFormat="false" ht="15" hidden="false" customHeight="fals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2"/>
      <c r="M384" s="18"/>
      <c r="N384" s="12"/>
      <c r="O384" s="12"/>
      <c r="P384" s="12"/>
      <c r="Q384" s="18"/>
    </row>
    <row r="385" customFormat="false" ht="15" hidden="false" customHeight="fals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2"/>
      <c r="M385" s="18"/>
      <c r="N385" s="12"/>
      <c r="O385" s="12"/>
      <c r="P385" s="12"/>
      <c r="Q385" s="18"/>
    </row>
    <row r="386" customFormat="false" ht="15" hidden="false" customHeight="fals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2"/>
      <c r="M386" s="18"/>
      <c r="N386" s="12"/>
      <c r="O386" s="12"/>
      <c r="P386" s="12"/>
      <c r="Q386" s="18"/>
    </row>
    <row r="387" customFormat="false" ht="15" hidden="false" customHeight="fals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2"/>
      <c r="M387" s="18"/>
      <c r="N387" s="12"/>
      <c r="O387" s="12"/>
      <c r="P387" s="12"/>
      <c r="Q387" s="18"/>
    </row>
    <row r="388" customFormat="false" ht="15" hidden="false" customHeight="fals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2"/>
      <c r="M388" s="18"/>
      <c r="N388" s="12"/>
      <c r="O388" s="12"/>
      <c r="P388" s="12"/>
      <c r="Q388" s="18"/>
    </row>
    <row r="389" customFormat="false" ht="15" hidden="false" customHeight="fals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2"/>
      <c r="M389" s="18"/>
      <c r="N389" s="12"/>
      <c r="O389" s="12"/>
      <c r="P389" s="12"/>
      <c r="Q389" s="18"/>
    </row>
    <row r="390" customFormat="false" ht="15" hidden="false" customHeight="fals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2"/>
      <c r="M390" s="18"/>
      <c r="N390" s="12"/>
      <c r="O390" s="12"/>
      <c r="P390" s="12"/>
      <c r="Q390" s="18"/>
    </row>
    <row r="391" customFormat="false" ht="15" hidden="false" customHeight="fals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2"/>
      <c r="M391" s="18"/>
      <c r="N391" s="12"/>
      <c r="O391" s="12"/>
      <c r="P391" s="12"/>
      <c r="Q391" s="18"/>
    </row>
    <row r="392" customFormat="false" ht="15" hidden="false" customHeight="fals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2"/>
      <c r="M392" s="18"/>
      <c r="N392" s="12"/>
      <c r="O392" s="12"/>
      <c r="P392" s="12"/>
      <c r="Q392" s="18"/>
    </row>
    <row r="393" customFormat="false" ht="15" hidden="false" customHeight="fals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2"/>
      <c r="M393" s="18"/>
      <c r="N393" s="12"/>
      <c r="O393" s="12"/>
      <c r="P393" s="12"/>
      <c r="Q393" s="18"/>
    </row>
    <row r="394" customFormat="false" ht="15" hidden="false" customHeight="fals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2"/>
      <c r="M394" s="18"/>
      <c r="N394" s="12"/>
      <c r="O394" s="12"/>
      <c r="P394" s="12"/>
      <c r="Q394" s="18"/>
    </row>
    <row r="395" customFormat="false" ht="15" hidden="false" customHeight="fals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2"/>
      <c r="M395" s="18"/>
      <c r="N395" s="12"/>
      <c r="O395" s="12"/>
      <c r="P395" s="12"/>
      <c r="Q395" s="18"/>
    </row>
    <row r="396" customFormat="false" ht="15" hidden="false" customHeight="fals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2"/>
      <c r="M396" s="18"/>
      <c r="N396" s="12"/>
      <c r="O396" s="12"/>
      <c r="P396" s="12"/>
      <c r="Q396" s="18"/>
    </row>
    <row r="397" customFormat="false" ht="15" hidden="false" customHeight="fals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2"/>
      <c r="M397" s="18"/>
      <c r="N397" s="12"/>
      <c r="O397" s="12"/>
      <c r="P397" s="12"/>
      <c r="Q397" s="18"/>
    </row>
    <row r="398" customFormat="false" ht="15" hidden="false" customHeight="fals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2"/>
      <c r="M398" s="18"/>
      <c r="N398" s="12"/>
      <c r="O398" s="12"/>
      <c r="P398" s="12"/>
      <c r="Q398" s="18"/>
    </row>
    <row r="399" customFormat="false" ht="15" hidden="false" customHeight="fals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2"/>
      <c r="M399" s="18"/>
      <c r="N399" s="12"/>
      <c r="O399" s="12"/>
      <c r="P399" s="12"/>
      <c r="Q399" s="18"/>
    </row>
    <row r="400" customFormat="false" ht="15" hidden="false" customHeight="fals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2"/>
      <c r="M400" s="18"/>
      <c r="N400" s="12"/>
      <c r="O400" s="12"/>
      <c r="P400" s="12"/>
      <c r="Q400" s="18"/>
    </row>
    <row r="401" customFormat="false" ht="15" hidden="false" customHeight="fals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2"/>
      <c r="M401" s="18"/>
      <c r="N401" s="12"/>
      <c r="O401" s="12"/>
      <c r="P401" s="12"/>
      <c r="Q401" s="18"/>
    </row>
    <row r="402" customFormat="false" ht="15" hidden="false" customHeight="fals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2"/>
      <c r="M402" s="18"/>
      <c r="N402" s="12"/>
      <c r="O402" s="12"/>
      <c r="P402" s="12"/>
      <c r="Q402" s="18"/>
    </row>
    <row r="403" customFormat="false" ht="15" hidden="false" customHeight="fals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2"/>
      <c r="M403" s="18"/>
      <c r="N403" s="12"/>
      <c r="O403" s="12"/>
      <c r="P403" s="12"/>
      <c r="Q403" s="18"/>
    </row>
    <row r="404" customFormat="false" ht="15" hidden="false" customHeight="fals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2"/>
      <c r="M404" s="18"/>
      <c r="N404" s="12"/>
      <c r="O404" s="12"/>
      <c r="P404" s="12"/>
      <c r="Q404" s="18"/>
    </row>
    <row r="405" customFormat="false" ht="15" hidden="false" customHeight="fals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2"/>
      <c r="M405" s="18"/>
      <c r="N405" s="12"/>
      <c r="O405" s="12"/>
      <c r="P405" s="12"/>
      <c r="Q405" s="18"/>
    </row>
    <row r="406" customFormat="false" ht="15" hidden="false" customHeight="fals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2"/>
      <c r="M406" s="18"/>
      <c r="N406" s="12"/>
      <c r="O406" s="12"/>
      <c r="P406" s="12"/>
      <c r="Q406" s="18"/>
    </row>
    <row r="407" customFormat="false" ht="15" hidden="false" customHeight="fals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2"/>
      <c r="M407" s="18"/>
      <c r="N407" s="12"/>
      <c r="O407" s="12"/>
      <c r="P407" s="12"/>
      <c r="Q407" s="18"/>
    </row>
    <row r="408" customFormat="false" ht="15" hidden="false" customHeight="fals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2"/>
      <c r="M408" s="18"/>
      <c r="N408" s="12"/>
      <c r="O408" s="12"/>
      <c r="P408" s="12"/>
      <c r="Q408" s="18"/>
    </row>
    <row r="409" customFormat="false" ht="15" hidden="false" customHeight="fals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2"/>
      <c r="M409" s="18"/>
      <c r="N409" s="12"/>
      <c r="O409" s="12"/>
      <c r="P409" s="12"/>
      <c r="Q409" s="18"/>
    </row>
    <row r="410" customFormat="false" ht="15" hidden="false" customHeight="fals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2"/>
      <c r="M410" s="18"/>
      <c r="N410" s="12"/>
      <c r="O410" s="12"/>
      <c r="P410" s="12"/>
      <c r="Q410" s="18"/>
    </row>
    <row r="411" customFormat="false" ht="15" hidden="false" customHeight="fals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2"/>
      <c r="M411" s="18"/>
      <c r="N411" s="12"/>
      <c r="O411" s="12"/>
      <c r="P411" s="12"/>
      <c r="Q411" s="18"/>
    </row>
    <row r="412" customFormat="false" ht="15" hidden="false" customHeight="fals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2"/>
      <c r="M412" s="18"/>
      <c r="N412" s="12"/>
      <c r="O412" s="12"/>
      <c r="P412" s="12"/>
      <c r="Q412" s="18"/>
    </row>
    <row r="413" customFormat="false" ht="15" hidden="false" customHeight="fals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2"/>
      <c r="M413" s="18"/>
      <c r="N413" s="12"/>
      <c r="O413" s="12"/>
      <c r="P413" s="12"/>
      <c r="Q413" s="18"/>
    </row>
    <row r="414" customFormat="false" ht="15" hidden="false" customHeight="fals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2"/>
      <c r="M414" s="18"/>
      <c r="N414" s="12"/>
      <c r="O414" s="12"/>
      <c r="P414" s="12"/>
      <c r="Q414" s="18"/>
    </row>
    <row r="415" customFormat="false" ht="15" hidden="false" customHeight="fals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2"/>
      <c r="M415" s="18"/>
      <c r="N415" s="12"/>
      <c r="O415" s="12"/>
      <c r="P415" s="12"/>
      <c r="Q415" s="18"/>
    </row>
    <row r="416" customFormat="false" ht="15" hidden="false" customHeight="fals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2"/>
      <c r="M416" s="18"/>
      <c r="N416" s="12"/>
      <c r="O416" s="12"/>
      <c r="P416" s="12"/>
      <c r="Q416" s="18"/>
    </row>
    <row r="417" customFormat="false" ht="15" hidden="false" customHeight="fals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2"/>
      <c r="M417" s="18"/>
      <c r="N417" s="12"/>
      <c r="O417" s="12"/>
      <c r="P417" s="12"/>
      <c r="Q417" s="18"/>
    </row>
    <row r="418" customFormat="false" ht="15" hidden="false" customHeight="fals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2"/>
      <c r="M418" s="18"/>
      <c r="N418" s="12"/>
      <c r="O418" s="12"/>
      <c r="P418" s="12"/>
      <c r="Q418" s="18"/>
    </row>
    <row r="419" customFormat="false" ht="15" hidden="false" customHeight="fals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2"/>
      <c r="M419" s="18"/>
      <c r="N419" s="12"/>
      <c r="O419" s="12"/>
      <c r="P419" s="12"/>
      <c r="Q419" s="18"/>
    </row>
    <row r="420" customFormat="false" ht="15" hidden="false" customHeight="fals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2"/>
      <c r="M420" s="18"/>
      <c r="N420" s="12"/>
      <c r="O420" s="12"/>
      <c r="P420" s="12"/>
      <c r="Q420" s="18"/>
    </row>
    <row r="421" customFormat="false" ht="15" hidden="false" customHeight="fals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2"/>
      <c r="M421" s="18"/>
      <c r="N421" s="12"/>
      <c r="O421" s="12"/>
      <c r="P421" s="12"/>
      <c r="Q421" s="18"/>
    </row>
    <row r="422" customFormat="false" ht="15" hidden="false" customHeight="fals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2"/>
      <c r="M422" s="18"/>
      <c r="N422" s="12"/>
      <c r="O422" s="12"/>
      <c r="P422" s="12"/>
      <c r="Q422" s="18"/>
    </row>
    <row r="423" customFormat="false" ht="15" hidden="false" customHeight="fals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2"/>
      <c r="M423" s="18"/>
      <c r="N423" s="12"/>
      <c r="O423" s="12"/>
      <c r="P423" s="12"/>
      <c r="Q423" s="18"/>
    </row>
    <row r="424" customFormat="false" ht="15" hidden="false" customHeight="fals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2"/>
      <c r="M424" s="18"/>
      <c r="N424" s="12"/>
      <c r="O424" s="12"/>
      <c r="P424" s="12"/>
      <c r="Q424" s="18"/>
    </row>
    <row r="425" customFormat="false" ht="15" hidden="false" customHeight="fals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2"/>
      <c r="M425" s="18"/>
      <c r="N425" s="12"/>
      <c r="O425" s="12"/>
      <c r="P425" s="12"/>
      <c r="Q425" s="18"/>
    </row>
    <row r="426" customFormat="false" ht="15" hidden="false" customHeight="fals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2"/>
      <c r="M426" s="18"/>
      <c r="N426" s="12"/>
      <c r="O426" s="12"/>
      <c r="P426" s="12"/>
      <c r="Q426" s="18"/>
    </row>
    <row r="427" customFormat="false" ht="15" hidden="false" customHeight="fals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2"/>
      <c r="M427" s="18"/>
      <c r="N427" s="12"/>
      <c r="O427" s="12"/>
      <c r="P427" s="12"/>
      <c r="Q427" s="18"/>
    </row>
    <row r="428" customFormat="false" ht="15" hidden="false" customHeight="fals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2"/>
      <c r="M428" s="18"/>
      <c r="N428" s="12"/>
      <c r="O428" s="12"/>
      <c r="P428" s="12"/>
      <c r="Q428" s="18"/>
    </row>
    <row r="429" customFormat="false" ht="15" hidden="false" customHeight="fals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2"/>
      <c r="M429" s="18"/>
      <c r="N429" s="12"/>
      <c r="O429" s="12"/>
      <c r="P429" s="12"/>
      <c r="Q429" s="18"/>
    </row>
    <row r="430" customFormat="false" ht="15" hidden="false" customHeight="fals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2"/>
      <c r="M430" s="18"/>
      <c r="N430" s="12"/>
      <c r="O430" s="12"/>
      <c r="P430" s="12"/>
      <c r="Q430" s="18"/>
    </row>
    <row r="431" customFormat="false" ht="15" hidden="false" customHeight="fals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2"/>
      <c r="M431" s="18"/>
      <c r="N431" s="12"/>
      <c r="O431" s="12"/>
      <c r="P431" s="12"/>
      <c r="Q431" s="18"/>
    </row>
    <row r="432" customFormat="false" ht="15" hidden="false" customHeight="fals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2"/>
      <c r="M432" s="18"/>
      <c r="N432" s="12"/>
      <c r="O432" s="12"/>
      <c r="P432" s="12"/>
      <c r="Q432" s="18"/>
    </row>
    <row r="433" customFormat="false" ht="15" hidden="false" customHeight="fals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2"/>
      <c r="M433" s="18"/>
      <c r="N433" s="12"/>
      <c r="O433" s="12"/>
      <c r="P433" s="12"/>
      <c r="Q433" s="18"/>
    </row>
    <row r="434" customFormat="false" ht="15" hidden="false" customHeight="fals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2"/>
      <c r="M434" s="18"/>
      <c r="N434" s="12"/>
      <c r="O434" s="12"/>
      <c r="P434" s="12"/>
      <c r="Q434" s="18"/>
    </row>
    <row r="435" customFormat="false" ht="15" hidden="false" customHeight="fals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2"/>
      <c r="M435" s="18"/>
      <c r="N435" s="12"/>
      <c r="O435" s="12"/>
      <c r="P435" s="12"/>
      <c r="Q435" s="18"/>
    </row>
    <row r="436" customFormat="false" ht="15" hidden="false" customHeight="fals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2"/>
      <c r="M436" s="18"/>
      <c r="N436" s="12"/>
      <c r="O436" s="12"/>
      <c r="P436" s="12"/>
      <c r="Q436" s="18"/>
    </row>
    <row r="437" customFormat="false" ht="15" hidden="false" customHeight="fals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2"/>
      <c r="M437" s="18"/>
      <c r="N437" s="12"/>
      <c r="O437" s="12"/>
      <c r="P437" s="12"/>
      <c r="Q437" s="18"/>
    </row>
    <row r="438" customFormat="false" ht="15" hidden="false" customHeight="fals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2"/>
      <c r="M438" s="18"/>
      <c r="N438" s="12"/>
      <c r="O438" s="12"/>
      <c r="P438" s="12"/>
      <c r="Q438" s="18"/>
    </row>
    <row r="439" customFormat="false" ht="15" hidden="false" customHeight="fals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2"/>
      <c r="M439" s="18"/>
      <c r="N439" s="12"/>
      <c r="O439" s="12"/>
      <c r="P439" s="12"/>
      <c r="Q439" s="18"/>
    </row>
    <row r="440" customFormat="false" ht="15" hidden="false" customHeight="fals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2"/>
      <c r="M440" s="18"/>
      <c r="N440" s="12"/>
      <c r="O440" s="12"/>
      <c r="P440" s="12"/>
      <c r="Q440" s="18"/>
    </row>
    <row r="441" customFormat="false" ht="15" hidden="false" customHeight="fals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2"/>
      <c r="M441" s="18"/>
      <c r="N441" s="12"/>
      <c r="O441" s="12"/>
      <c r="P441" s="12"/>
      <c r="Q441" s="18"/>
    </row>
    <row r="442" customFormat="false" ht="15" hidden="false" customHeight="fals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2"/>
      <c r="M442" s="18"/>
      <c r="N442" s="12"/>
      <c r="O442" s="12"/>
      <c r="P442" s="12"/>
      <c r="Q442" s="18"/>
    </row>
    <row r="443" customFormat="false" ht="15" hidden="false" customHeight="fals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2"/>
      <c r="M443" s="18"/>
      <c r="N443" s="12"/>
      <c r="O443" s="12"/>
      <c r="P443" s="12"/>
      <c r="Q443" s="18"/>
    </row>
    <row r="444" customFormat="false" ht="15" hidden="false" customHeight="fals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2"/>
      <c r="M444" s="18"/>
      <c r="N444" s="12"/>
      <c r="O444" s="12"/>
      <c r="P444" s="12"/>
      <c r="Q444" s="18"/>
    </row>
    <row r="445" customFormat="false" ht="15" hidden="false" customHeight="fals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2"/>
      <c r="M445" s="18"/>
      <c r="N445" s="12"/>
      <c r="O445" s="12"/>
      <c r="P445" s="12"/>
      <c r="Q445" s="18"/>
    </row>
    <row r="446" customFormat="false" ht="15" hidden="false" customHeight="fals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2"/>
      <c r="M446" s="18"/>
      <c r="N446" s="12"/>
      <c r="O446" s="12"/>
      <c r="P446" s="12"/>
      <c r="Q446" s="18"/>
    </row>
    <row r="447" customFormat="false" ht="15" hidden="false" customHeight="fals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2"/>
      <c r="M447" s="18"/>
      <c r="N447" s="12"/>
      <c r="O447" s="12"/>
      <c r="P447" s="12"/>
      <c r="Q447" s="18"/>
    </row>
    <row r="448" customFormat="false" ht="15" hidden="false" customHeight="fals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2"/>
      <c r="M448" s="18"/>
      <c r="N448" s="12"/>
      <c r="O448" s="12"/>
      <c r="P448" s="12"/>
      <c r="Q448" s="18"/>
    </row>
    <row r="449" customFormat="false" ht="15" hidden="false" customHeight="fals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2"/>
      <c r="M449" s="18"/>
      <c r="N449" s="12"/>
      <c r="O449" s="12"/>
      <c r="P449" s="12"/>
      <c r="Q449" s="18"/>
    </row>
    <row r="450" customFormat="false" ht="15" hidden="false" customHeight="fals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2"/>
      <c r="M450" s="18"/>
      <c r="N450" s="12"/>
      <c r="O450" s="12"/>
      <c r="P450" s="12"/>
      <c r="Q450" s="18"/>
    </row>
    <row r="451" customFormat="false" ht="15" hidden="false" customHeight="fals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2"/>
      <c r="M451" s="18"/>
      <c r="N451" s="12"/>
      <c r="O451" s="12"/>
      <c r="P451" s="12"/>
      <c r="Q451" s="18"/>
    </row>
    <row r="452" customFormat="false" ht="15" hidden="false" customHeight="fals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2"/>
      <c r="M452" s="18"/>
      <c r="N452" s="12"/>
      <c r="O452" s="12"/>
      <c r="P452" s="12"/>
      <c r="Q452" s="18"/>
    </row>
    <row r="453" customFormat="false" ht="15" hidden="false" customHeight="fals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2"/>
      <c r="M453" s="18"/>
      <c r="N453" s="12"/>
      <c r="O453" s="12"/>
      <c r="P453" s="12"/>
      <c r="Q453" s="18"/>
    </row>
    <row r="454" customFormat="false" ht="15" hidden="false" customHeight="fals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2"/>
      <c r="M454" s="18"/>
      <c r="N454" s="12"/>
      <c r="O454" s="12"/>
      <c r="P454" s="12"/>
      <c r="Q454" s="18"/>
    </row>
    <row r="455" customFormat="false" ht="15" hidden="false" customHeight="fals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2"/>
      <c r="M455" s="18"/>
      <c r="N455" s="12"/>
      <c r="O455" s="12"/>
      <c r="P455" s="12"/>
      <c r="Q455" s="18"/>
    </row>
    <row r="456" customFormat="false" ht="15" hidden="false" customHeight="fals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2"/>
      <c r="M456" s="18"/>
      <c r="N456" s="12"/>
      <c r="O456" s="12"/>
      <c r="P456" s="12"/>
      <c r="Q456" s="18"/>
    </row>
    <row r="457" customFormat="false" ht="15" hidden="false" customHeight="fals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2"/>
      <c r="M457" s="18"/>
      <c r="N457" s="12"/>
      <c r="O457" s="12"/>
      <c r="P457" s="12"/>
      <c r="Q457" s="18"/>
    </row>
    <row r="458" customFormat="false" ht="15" hidden="false" customHeight="fals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2"/>
      <c r="M458" s="18"/>
      <c r="N458" s="12"/>
      <c r="O458" s="12"/>
      <c r="P458" s="12"/>
      <c r="Q458" s="18"/>
    </row>
    <row r="459" customFormat="false" ht="15" hidden="false" customHeight="fals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2"/>
      <c r="M459" s="18"/>
      <c r="N459" s="12"/>
      <c r="O459" s="12"/>
      <c r="P459" s="12"/>
      <c r="Q459" s="18"/>
    </row>
    <row r="460" customFormat="false" ht="15" hidden="false" customHeight="fals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2"/>
      <c r="M460" s="18"/>
      <c r="N460" s="12"/>
      <c r="O460" s="12"/>
      <c r="P460" s="12"/>
      <c r="Q460" s="18"/>
    </row>
    <row r="461" customFormat="false" ht="15" hidden="false" customHeight="fals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2"/>
      <c r="M461" s="18"/>
      <c r="N461" s="12"/>
      <c r="O461" s="12"/>
      <c r="P461" s="12"/>
      <c r="Q461" s="18"/>
    </row>
    <row r="462" customFormat="false" ht="15" hidden="false" customHeight="fals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2"/>
      <c r="M462" s="18"/>
      <c r="N462" s="12"/>
      <c r="O462" s="12"/>
      <c r="P462" s="12"/>
      <c r="Q462" s="18"/>
    </row>
    <row r="463" customFormat="false" ht="15" hidden="false" customHeight="fals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2"/>
      <c r="M463" s="18"/>
      <c r="N463" s="12"/>
      <c r="O463" s="12"/>
      <c r="P463" s="12"/>
      <c r="Q463" s="18"/>
    </row>
    <row r="464" customFormat="false" ht="15" hidden="false" customHeight="fals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2"/>
      <c r="M464" s="18"/>
      <c r="N464" s="12"/>
      <c r="O464" s="12"/>
      <c r="P464" s="12"/>
      <c r="Q464" s="18"/>
    </row>
    <row r="465" customFormat="false" ht="15" hidden="false" customHeight="fals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2"/>
      <c r="M465" s="18"/>
      <c r="N465" s="12"/>
      <c r="O465" s="12"/>
      <c r="P465" s="12"/>
      <c r="Q465" s="18"/>
    </row>
    <row r="466" customFormat="false" ht="15" hidden="false" customHeight="fals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2"/>
      <c r="M466" s="18"/>
      <c r="N466" s="12"/>
      <c r="O466" s="12"/>
      <c r="P466" s="12"/>
      <c r="Q466" s="18"/>
    </row>
    <row r="467" customFormat="false" ht="15" hidden="false" customHeight="fals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2"/>
      <c r="M467" s="18"/>
      <c r="N467" s="12"/>
      <c r="O467" s="12"/>
      <c r="P467" s="12"/>
      <c r="Q467" s="18"/>
    </row>
    <row r="468" customFormat="false" ht="15" hidden="false" customHeight="fals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2"/>
      <c r="M468" s="18"/>
      <c r="N468" s="12"/>
      <c r="O468" s="12"/>
      <c r="P468" s="12"/>
      <c r="Q468" s="18"/>
    </row>
    <row r="469" customFormat="false" ht="15" hidden="false" customHeight="fals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2"/>
      <c r="M469" s="18"/>
      <c r="N469" s="12"/>
      <c r="O469" s="12"/>
      <c r="P469" s="12"/>
      <c r="Q469" s="18"/>
    </row>
    <row r="470" customFormat="false" ht="15" hidden="false" customHeight="fals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2"/>
      <c r="M470" s="18"/>
      <c r="N470" s="12"/>
      <c r="O470" s="12"/>
      <c r="P470" s="12"/>
      <c r="Q470" s="18"/>
    </row>
    <row r="471" customFormat="false" ht="15" hidden="false" customHeight="fals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2"/>
      <c r="M471" s="18"/>
      <c r="N471" s="12"/>
      <c r="O471" s="12"/>
      <c r="P471" s="12"/>
      <c r="Q471" s="18"/>
    </row>
    <row r="472" customFormat="false" ht="15" hidden="false" customHeight="fals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2"/>
      <c r="M472" s="18"/>
      <c r="N472" s="12"/>
      <c r="O472" s="12"/>
      <c r="P472" s="12"/>
      <c r="Q472" s="18"/>
    </row>
    <row r="473" customFormat="false" ht="15" hidden="false" customHeight="fals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2"/>
      <c r="M473" s="18"/>
      <c r="N473" s="12"/>
      <c r="O473" s="12"/>
      <c r="P473" s="12"/>
      <c r="Q473" s="18"/>
    </row>
    <row r="474" customFormat="false" ht="15" hidden="false" customHeight="fals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2"/>
      <c r="M474" s="18"/>
      <c r="N474" s="12"/>
      <c r="O474" s="12"/>
      <c r="P474" s="12"/>
      <c r="Q474" s="18"/>
    </row>
    <row r="475" customFormat="false" ht="15" hidden="false" customHeight="fals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2"/>
      <c r="M475" s="18"/>
      <c r="N475" s="12"/>
      <c r="O475" s="12"/>
      <c r="P475" s="12"/>
      <c r="Q475" s="18"/>
    </row>
    <row r="476" customFormat="false" ht="15" hidden="false" customHeight="fals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2"/>
      <c r="M476" s="18"/>
      <c r="N476" s="12"/>
      <c r="O476" s="12"/>
      <c r="P476" s="12"/>
      <c r="Q476" s="18"/>
    </row>
    <row r="477" customFormat="false" ht="15" hidden="false" customHeight="fals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2"/>
      <c r="M477" s="18"/>
      <c r="N477" s="12"/>
      <c r="O477" s="12"/>
      <c r="P477" s="12"/>
      <c r="Q477" s="18"/>
    </row>
    <row r="478" customFormat="false" ht="15" hidden="false" customHeight="fals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2"/>
      <c r="M478" s="18"/>
      <c r="N478" s="12"/>
      <c r="O478" s="12"/>
      <c r="P478" s="12"/>
      <c r="Q478" s="18"/>
    </row>
    <row r="479" customFormat="false" ht="15" hidden="false" customHeight="fals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2"/>
      <c r="M479" s="18"/>
      <c r="N479" s="12"/>
      <c r="O479" s="12"/>
      <c r="P479" s="12"/>
      <c r="Q479" s="18"/>
    </row>
    <row r="480" customFormat="false" ht="15" hidden="false" customHeight="fals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2"/>
      <c r="M480" s="18"/>
      <c r="N480" s="12"/>
      <c r="O480" s="12"/>
      <c r="P480" s="12"/>
      <c r="Q480" s="18"/>
    </row>
    <row r="481" customFormat="false" ht="15" hidden="false" customHeight="fals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2"/>
      <c r="M481" s="18"/>
      <c r="N481" s="12"/>
      <c r="O481" s="12"/>
      <c r="P481" s="12"/>
      <c r="Q481" s="18"/>
    </row>
    <row r="482" customFormat="false" ht="15" hidden="false" customHeight="fals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2"/>
      <c r="M482" s="18"/>
      <c r="N482" s="12"/>
      <c r="O482" s="12"/>
      <c r="P482" s="12"/>
      <c r="Q482" s="18"/>
    </row>
    <row r="483" customFormat="false" ht="15" hidden="false" customHeight="fals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2"/>
      <c r="M483" s="18"/>
      <c r="N483" s="12"/>
      <c r="O483" s="12"/>
      <c r="P483" s="12"/>
      <c r="Q483" s="18"/>
    </row>
    <row r="484" customFormat="false" ht="15" hidden="false" customHeight="fals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2"/>
      <c r="M484" s="18"/>
      <c r="N484" s="12"/>
      <c r="O484" s="12"/>
      <c r="P484" s="12"/>
      <c r="Q484" s="18"/>
    </row>
    <row r="485" customFormat="false" ht="15" hidden="false" customHeight="fals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2"/>
      <c r="M485" s="18"/>
      <c r="N485" s="12"/>
      <c r="O485" s="12"/>
      <c r="P485" s="12"/>
      <c r="Q485" s="18"/>
    </row>
    <row r="486" customFormat="false" ht="15" hidden="false" customHeight="fals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2"/>
      <c r="M486" s="18"/>
      <c r="N486" s="12"/>
      <c r="O486" s="12"/>
      <c r="P486" s="12"/>
      <c r="Q486" s="18"/>
    </row>
    <row r="487" customFormat="false" ht="15" hidden="false" customHeight="fals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2"/>
      <c r="M487" s="18"/>
      <c r="N487" s="12"/>
      <c r="O487" s="12"/>
      <c r="P487" s="12"/>
      <c r="Q487" s="18"/>
    </row>
    <row r="488" customFormat="false" ht="15" hidden="false" customHeight="fals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2"/>
      <c r="M488" s="18"/>
      <c r="N488" s="12"/>
      <c r="O488" s="12"/>
      <c r="P488" s="12"/>
      <c r="Q488" s="18"/>
    </row>
    <row r="489" customFormat="false" ht="15" hidden="false" customHeight="fals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2"/>
      <c r="M489" s="18"/>
      <c r="N489" s="12"/>
      <c r="O489" s="12"/>
      <c r="P489" s="12"/>
      <c r="Q489" s="18"/>
    </row>
    <row r="490" customFormat="false" ht="15" hidden="false" customHeight="fals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2"/>
      <c r="M490" s="18"/>
      <c r="N490" s="12"/>
      <c r="O490" s="12"/>
      <c r="P490" s="12"/>
      <c r="Q490" s="18"/>
    </row>
    <row r="491" customFormat="false" ht="15" hidden="false" customHeight="fals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2"/>
      <c r="M491" s="18"/>
      <c r="N491" s="12"/>
      <c r="O491" s="12"/>
      <c r="P491" s="12"/>
      <c r="Q491" s="18"/>
    </row>
    <row r="492" customFormat="false" ht="15" hidden="false" customHeight="fals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2"/>
      <c r="M492" s="18"/>
      <c r="N492" s="12"/>
      <c r="O492" s="12"/>
      <c r="P492" s="12"/>
      <c r="Q492" s="18"/>
    </row>
    <row r="493" customFormat="false" ht="15" hidden="false" customHeight="fals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2"/>
      <c r="M493" s="18"/>
      <c r="N493" s="12"/>
      <c r="O493" s="12"/>
      <c r="P493" s="12"/>
      <c r="Q493" s="18"/>
    </row>
    <row r="494" customFormat="false" ht="15" hidden="false" customHeight="fals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2"/>
      <c r="M494" s="18"/>
      <c r="N494" s="12"/>
      <c r="O494" s="12"/>
      <c r="P494" s="12"/>
      <c r="Q494" s="18"/>
    </row>
    <row r="495" customFormat="false" ht="15" hidden="false" customHeight="fals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2"/>
      <c r="M495" s="18"/>
      <c r="N495" s="12"/>
      <c r="O495" s="12"/>
      <c r="P495" s="12"/>
      <c r="Q495" s="18"/>
    </row>
    <row r="496" customFormat="false" ht="15" hidden="false" customHeight="fals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2"/>
      <c r="M496" s="18"/>
      <c r="N496" s="12"/>
      <c r="O496" s="12"/>
      <c r="P496" s="12"/>
      <c r="Q496" s="18"/>
    </row>
    <row r="497" customFormat="false" ht="15" hidden="false" customHeight="fals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2"/>
      <c r="M497" s="18"/>
      <c r="N497" s="12"/>
      <c r="O497" s="12"/>
      <c r="P497" s="12"/>
      <c r="Q497" s="18"/>
    </row>
    <row r="498" customFormat="false" ht="15" hidden="false" customHeight="fals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2"/>
      <c r="M498" s="18"/>
      <c r="N498" s="12"/>
      <c r="O498" s="12"/>
      <c r="P498" s="12"/>
      <c r="Q498" s="18"/>
    </row>
    <row r="499" customFormat="false" ht="15" hidden="false" customHeight="fals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2"/>
      <c r="M499" s="18"/>
      <c r="N499" s="12"/>
      <c r="O499" s="12"/>
      <c r="P499" s="12"/>
      <c r="Q499" s="18"/>
    </row>
    <row r="500" customFormat="false" ht="15" hidden="false" customHeight="fals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2"/>
      <c r="M500" s="18"/>
      <c r="N500" s="12"/>
      <c r="O500" s="12"/>
      <c r="P500" s="12"/>
      <c r="Q500" s="18"/>
    </row>
    <row r="501" customFormat="false" ht="15" hidden="false" customHeight="fals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2"/>
      <c r="M501" s="18"/>
      <c r="N501" s="12"/>
      <c r="O501" s="12"/>
      <c r="P501" s="12"/>
      <c r="Q501" s="18"/>
    </row>
    <row r="502" customFormat="false" ht="15" hidden="false" customHeight="fals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2"/>
      <c r="M502" s="18"/>
      <c r="N502" s="12"/>
      <c r="O502" s="12"/>
      <c r="P502" s="12"/>
      <c r="Q502" s="18"/>
    </row>
    <row r="503" customFormat="false" ht="15" hidden="false" customHeight="fals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2"/>
      <c r="M503" s="18"/>
      <c r="N503" s="12"/>
      <c r="O503" s="12"/>
      <c r="P503" s="12"/>
      <c r="Q503" s="18"/>
    </row>
    <row r="504" customFormat="false" ht="15" hidden="false" customHeight="fals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2"/>
      <c r="M504" s="18"/>
      <c r="N504" s="12"/>
      <c r="O504" s="12"/>
      <c r="P504" s="12"/>
      <c r="Q504" s="18"/>
    </row>
    <row r="505" customFormat="false" ht="15" hidden="false" customHeight="fals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2"/>
      <c r="M505" s="18"/>
      <c r="N505" s="12"/>
      <c r="O505" s="12"/>
      <c r="P505" s="12"/>
      <c r="Q505" s="18"/>
    </row>
    <row r="506" customFormat="false" ht="15" hidden="false" customHeight="fals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2"/>
      <c r="M506" s="18"/>
      <c r="N506" s="12"/>
      <c r="O506" s="12"/>
      <c r="P506" s="12"/>
      <c r="Q506" s="18"/>
    </row>
    <row r="507" customFormat="false" ht="15" hidden="false" customHeight="fals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2"/>
      <c r="M507" s="18"/>
      <c r="N507" s="12"/>
      <c r="O507" s="12"/>
      <c r="P507" s="12"/>
      <c r="Q507" s="18"/>
    </row>
    <row r="508" customFormat="false" ht="15" hidden="false" customHeight="fals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2"/>
      <c r="M508" s="18"/>
      <c r="N508" s="12"/>
      <c r="O508" s="12"/>
      <c r="P508" s="12"/>
      <c r="Q508" s="18"/>
    </row>
    <row r="509" customFormat="false" ht="15" hidden="false" customHeight="fals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2"/>
      <c r="M509" s="18"/>
      <c r="N509" s="12"/>
      <c r="O509" s="12"/>
      <c r="P509" s="12"/>
      <c r="Q509" s="18"/>
    </row>
    <row r="510" customFormat="false" ht="15" hidden="false" customHeight="fals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2"/>
      <c r="M510" s="18"/>
      <c r="N510" s="12"/>
      <c r="O510" s="12"/>
      <c r="P510" s="12"/>
      <c r="Q510" s="18"/>
    </row>
    <row r="511" customFormat="false" ht="15" hidden="false" customHeight="fals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2"/>
      <c r="M511" s="18"/>
      <c r="N511" s="12"/>
      <c r="O511" s="12"/>
      <c r="P511" s="12"/>
      <c r="Q511" s="18"/>
    </row>
    <row r="512" customFormat="false" ht="15" hidden="false" customHeight="fals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2"/>
      <c r="M512" s="18"/>
      <c r="N512" s="12"/>
      <c r="O512" s="12"/>
      <c r="P512" s="12"/>
      <c r="Q512" s="18"/>
    </row>
    <row r="513" customFormat="false" ht="15" hidden="false" customHeight="fals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2"/>
      <c r="M513" s="18"/>
      <c r="N513" s="12"/>
      <c r="O513" s="12"/>
      <c r="P513" s="12"/>
      <c r="Q513" s="18"/>
    </row>
    <row r="514" customFormat="false" ht="15" hidden="false" customHeight="fals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2"/>
      <c r="M514" s="18"/>
      <c r="N514" s="12"/>
      <c r="O514" s="12"/>
      <c r="P514" s="12"/>
      <c r="Q514" s="18"/>
    </row>
    <row r="515" customFormat="false" ht="15" hidden="false" customHeight="fals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2"/>
      <c r="M515" s="18"/>
      <c r="N515" s="12"/>
      <c r="O515" s="12"/>
      <c r="P515" s="12"/>
      <c r="Q515" s="18"/>
    </row>
    <row r="516" customFormat="false" ht="15" hidden="false" customHeight="fals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2"/>
      <c r="M516" s="18"/>
      <c r="N516" s="12"/>
      <c r="O516" s="12"/>
      <c r="P516" s="12"/>
      <c r="Q516" s="18"/>
    </row>
    <row r="517" customFormat="false" ht="15" hidden="false" customHeight="fals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2"/>
      <c r="M517" s="18"/>
      <c r="N517" s="12"/>
      <c r="O517" s="12"/>
      <c r="P517" s="12"/>
      <c r="Q517" s="18"/>
    </row>
    <row r="518" customFormat="false" ht="15" hidden="false" customHeight="fals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2"/>
      <c r="M518" s="18"/>
      <c r="N518" s="12"/>
      <c r="O518" s="12"/>
      <c r="P518" s="12"/>
      <c r="Q518" s="18"/>
    </row>
    <row r="519" customFormat="false" ht="15" hidden="false" customHeight="fals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2"/>
      <c r="M519" s="18"/>
      <c r="N519" s="12"/>
      <c r="O519" s="12"/>
      <c r="P519" s="12"/>
      <c r="Q519" s="18"/>
    </row>
    <row r="520" customFormat="false" ht="15" hidden="false" customHeight="fals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2"/>
      <c r="M520" s="18"/>
      <c r="N520" s="12"/>
      <c r="O520" s="12"/>
      <c r="P520" s="12"/>
      <c r="Q520" s="18"/>
    </row>
    <row r="521" customFormat="false" ht="15" hidden="false" customHeight="fals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2"/>
      <c r="M521" s="18"/>
      <c r="N521" s="12"/>
      <c r="O521" s="12"/>
      <c r="P521" s="12"/>
      <c r="Q521" s="18"/>
    </row>
    <row r="522" customFormat="false" ht="15" hidden="false" customHeight="fals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2"/>
      <c r="M522" s="18"/>
      <c r="N522" s="12"/>
      <c r="O522" s="12"/>
      <c r="P522" s="12"/>
      <c r="Q522" s="18"/>
    </row>
    <row r="523" customFormat="false" ht="15" hidden="false" customHeight="fals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2"/>
      <c r="M523" s="18"/>
      <c r="N523" s="12"/>
      <c r="O523" s="12"/>
      <c r="P523" s="12"/>
      <c r="Q523" s="18"/>
    </row>
    <row r="524" customFormat="false" ht="15" hidden="false" customHeight="fals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2"/>
      <c r="M524" s="18"/>
      <c r="N524" s="12"/>
      <c r="O524" s="12"/>
      <c r="P524" s="12"/>
      <c r="Q524" s="18"/>
    </row>
    <row r="525" customFormat="false" ht="15" hidden="false" customHeight="fals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2"/>
      <c r="M525" s="18"/>
      <c r="N525" s="12"/>
      <c r="O525" s="12"/>
      <c r="P525" s="12"/>
      <c r="Q525" s="18"/>
    </row>
    <row r="526" customFormat="false" ht="15" hidden="false" customHeight="fals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2"/>
      <c r="M526" s="18"/>
      <c r="N526" s="12"/>
      <c r="O526" s="12"/>
      <c r="P526" s="12"/>
      <c r="Q526" s="18"/>
    </row>
    <row r="527" customFormat="false" ht="15" hidden="false" customHeight="fals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2"/>
      <c r="M527" s="18"/>
      <c r="N527" s="12"/>
      <c r="O527" s="12"/>
      <c r="P527" s="12"/>
      <c r="Q527" s="18"/>
    </row>
    <row r="528" customFormat="false" ht="15" hidden="false" customHeight="fals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2"/>
      <c r="M528" s="18"/>
      <c r="N528" s="12"/>
      <c r="O528" s="12"/>
      <c r="P528" s="12"/>
      <c r="Q528" s="18"/>
    </row>
    <row r="529" customFormat="false" ht="15" hidden="false" customHeight="fals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2"/>
      <c r="M529" s="18"/>
      <c r="N529" s="12"/>
      <c r="O529" s="12"/>
      <c r="P529" s="12"/>
      <c r="Q529" s="18"/>
    </row>
    <row r="530" customFormat="false" ht="15" hidden="false" customHeight="fals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2"/>
      <c r="M530" s="18"/>
      <c r="N530" s="12"/>
      <c r="O530" s="12"/>
      <c r="P530" s="12"/>
      <c r="Q530" s="18"/>
    </row>
    <row r="531" customFormat="false" ht="15" hidden="false" customHeight="fals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2"/>
      <c r="M531" s="18"/>
      <c r="N531" s="12"/>
      <c r="O531" s="12"/>
      <c r="P531" s="12"/>
      <c r="Q531" s="18"/>
    </row>
    <row r="532" customFormat="false" ht="15" hidden="false" customHeight="fals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2"/>
      <c r="M532" s="18"/>
      <c r="N532" s="12"/>
      <c r="O532" s="12"/>
      <c r="P532" s="12"/>
      <c r="Q532" s="18"/>
    </row>
    <row r="533" customFormat="false" ht="15" hidden="false" customHeight="fals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2"/>
      <c r="M533" s="18"/>
      <c r="N533" s="12"/>
      <c r="O533" s="12"/>
      <c r="P533" s="12"/>
      <c r="Q533" s="18"/>
    </row>
    <row r="534" customFormat="false" ht="15" hidden="false" customHeight="fals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2"/>
      <c r="M534" s="18"/>
      <c r="N534" s="12"/>
      <c r="O534" s="12"/>
      <c r="P534" s="12"/>
      <c r="Q534" s="18"/>
    </row>
    <row r="535" customFormat="false" ht="15" hidden="false" customHeight="fals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2"/>
      <c r="M535" s="18"/>
      <c r="N535" s="12"/>
      <c r="O535" s="12"/>
      <c r="P535" s="12"/>
      <c r="Q535" s="18"/>
    </row>
    <row r="536" customFormat="false" ht="15" hidden="false" customHeight="fals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2"/>
      <c r="M536" s="18"/>
      <c r="N536" s="12"/>
      <c r="O536" s="12"/>
      <c r="P536" s="12"/>
      <c r="Q536" s="18"/>
    </row>
    <row r="537" customFormat="false" ht="15" hidden="false" customHeight="fals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2"/>
      <c r="M537" s="18"/>
      <c r="N537" s="12"/>
      <c r="O537" s="12"/>
      <c r="P537" s="12"/>
      <c r="Q537" s="18"/>
    </row>
    <row r="538" customFormat="false" ht="15" hidden="false" customHeight="fals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2"/>
      <c r="M538" s="18"/>
      <c r="N538" s="12"/>
      <c r="O538" s="12"/>
      <c r="P538" s="12"/>
      <c r="Q538" s="18"/>
    </row>
    <row r="539" customFormat="false" ht="15" hidden="false" customHeight="fals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2"/>
      <c r="M539" s="18"/>
      <c r="N539" s="12"/>
      <c r="O539" s="12"/>
      <c r="P539" s="12"/>
      <c r="Q539" s="18"/>
    </row>
    <row r="540" customFormat="false" ht="15" hidden="false" customHeight="fals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2"/>
      <c r="M540" s="18"/>
      <c r="N540" s="12"/>
      <c r="O540" s="12"/>
      <c r="P540" s="12"/>
      <c r="Q540" s="18"/>
    </row>
    <row r="541" customFormat="false" ht="15" hidden="false" customHeight="fals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2"/>
      <c r="M541" s="18"/>
      <c r="N541" s="12"/>
      <c r="O541" s="12"/>
      <c r="P541" s="12"/>
      <c r="Q541" s="18"/>
    </row>
    <row r="542" customFormat="false" ht="15" hidden="false" customHeight="fals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2"/>
      <c r="M542" s="18"/>
      <c r="N542" s="12"/>
      <c r="O542" s="12"/>
      <c r="P542" s="12"/>
      <c r="Q542" s="18"/>
    </row>
    <row r="543" customFormat="false" ht="15" hidden="false" customHeight="fals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2"/>
      <c r="M543" s="18"/>
      <c r="N543" s="12"/>
      <c r="O543" s="12"/>
      <c r="P543" s="12"/>
      <c r="Q543" s="18"/>
    </row>
    <row r="544" customFormat="false" ht="15" hidden="false" customHeight="fals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2"/>
      <c r="M544" s="18"/>
      <c r="N544" s="12"/>
      <c r="O544" s="12"/>
      <c r="P544" s="12"/>
      <c r="Q544" s="18"/>
    </row>
    <row r="545" customFormat="false" ht="15" hidden="false" customHeight="fals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2"/>
      <c r="M545" s="18"/>
      <c r="N545" s="12"/>
      <c r="O545" s="12"/>
      <c r="P545" s="12"/>
      <c r="Q545" s="18"/>
    </row>
    <row r="546" customFormat="false" ht="15" hidden="false" customHeight="fals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2"/>
      <c r="M546" s="18"/>
      <c r="N546" s="12"/>
      <c r="O546" s="12"/>
      <c r="P546" s="12"/>
      <c r="Q546" s="18"/>
    </row>
    <row r="547" customFormat="false" ht="15" hidden="false" customHeight="fals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2"/>
      <c r="M547" s="18"/>
      <c r="N547" s="12"/>
      <c r="O547" s="12"/>
      <c r="P547" s="12"/>
      <c r="Q547" s="18"/>
    </row>
    <row r="548" customFormat="false" ht="15" hidden="false" customHeight="fals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2"/>
      <c r="M548" s="18"/>
      <c r="N548" s="12"/>
      <c r="O548" s="12"/>
      <c r="P548" s="12"/>
      <c r="Q548" s="18"/>
    </row>
    <row r="549" customFormat="false" ht="15" hidden="false" customHeight="fals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2"/>
      <c r="M549" s="18"/>
      <c r="N549" s="12"/>
      <c r="O549" s="12"/>
      <c r="P549" s="12"/>
      <c r="Q549" s="18"/>
    </row>
    <row r="550" customFormat="false" ht="15" hidden="false" customHeight="fals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2"/>
      <c r="M550" s="18"/>
      <c r="N550" s="12"/>
      <c r="O550" s="12"/>
      <c r="P550" s="12"/>
      <c r="Q550" s="18"/>
    </row>
    <row r="551" customFormat="false" ht="15" hidden="false" customHeight="fals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2"/>
      <c r="M551" s="18"/>
      <c r="N551" s="12"/>
      <c r="O551" s="12"/>
      <c r="P551" s="12"/>
      <c r="Q551" s="18"/>
    </row>
    <row r="552" customFormat="false" ht="15" hidden="false" customHeight="fals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2"/>
      <c r="M552" s="18"/>
      <c r="N552" s="12"/>
      <c r="O552" s="12"/>
      <c r="P552" s="12"/>
      <c r="Q552" s="18"/>
    </row>
    <row r="553" customFormat="false" ht="15" hidden="false" customHeight="fals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2"/>
      <c r="M553" s="18"/>
      <c r="N553" s="12"/>
      <c r="O553" s="12"/>
      <c r="P553" s="12"/>
      <c r="Q553" s="18"/>
    </row>
    <row r="554" customFormat="false" ht="15" hidden="false" customHeight="fals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2"/>
      <c r="M554" s="18"/>
      <c r="N554" s="12"/>
      <c r="O554" s="12"/>
      <c r="P554" s="12"/>
      <c r="Q554" s="18"/>
    </row>
    <row r="555" customFormat="false" ht="15" hidden="false" customHeight="fals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2"/>
      <c r="M555" s="18"/>
      <c r="N555" s="12"/>
      <c r="O555" s="12"/>
      <c r="P555" s="12"/>
      <c r="Q555" s="18"/>
    </row>
    <row r="556" customFormat="false" ht="15" hidden="false" customHeight="fals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2"/>
      <c r="M556" s="18"/>
      <c r="N556" s="12"/>
      <c r="O556" s="12"/>
      <c r="P556" s="12"/>
      <c r="Q556" s="18"/>
    </row>
    <row r="557" customFormat="false" ht="15" hidden="false" customHeight="fals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2"/>
      <c r="M557" s="18"/>
      <c r="N557" s="12"/>
      <c r="O557" s="12"/>
      <c r="P557" s="12"/>
      <c r="Q557" s="18"/>
    </row>
    <row r="558" customFormat="false" ht="15" hidden="false" customHeight="fals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2"/>
      <c r="M558" s="18"/>
      <c r="N558" s="12"/>
      <c r="O558" s="12"/>
      <c r="P558" s="12"/>
      <c r="Q558" s="18"/>
    </row>
    <row r="559" customFormat="false" ht="15" hidden="false" customHeight="fals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2"/>
      <c r="M559" s="18"/>
      <c r="N559" s="12"/>
      <c r="O559" s="12"/>
      <c r="P559" s="12"/>
      <c r="Q559" s="18"/>
    </row>
    <row r="560" customFormat="false" ht="15" hidden="false" customHeight="fals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2"/>
      <c r="M560" s="18"/>
      <c r="N560" s="12"/>
      <c r="O560" s="12"/>
      <c r="P560" s="12"/>
      <c r="Q560" s="18"/>
    </row>
    <row r="561" customFormat="false" ht="15" hidden="false" customHeight="fals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2"/>
      <c r="M561" s="18"/>
      <c r="N561" s="12"/>
      <c r="O561" s="12"/>
      <c r="P561" s="12"/>
      <c r="Q561" s="18"/>
    </row>
    <row r="562" customFormat="false" ht="15" hidden="false" customHeight="fals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2"/>
      <c r="M562" s="18"/>
      <c r="N562" s="12"/>
      <c r="O562" s="12"/>
      <c r="P562" s="12"/>
      <c r="Q562" s="18"/>
    </row>
    <row r="563" customFormat="false" ht="15" hidden="false" customHeight="fals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2"/>
      <c r="M563" s="18"/>
      <c r="N563" s="12"/>
      <c r="O563" s="12"/>
      <c r="P563" s="12"/>
      <c r="Q563" s="18"/>
    </row>
    <row r="564" customFormat="false" ht="15" hidden="false" customHeight="fals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2"/>
      <c r="M564" s="18"/>
      <c r="N564" s="12"/>
      <c r="O564" s="12"/>
      <c r="P564" s="12"/>
      <c r="Q564" s="18"/>
    </row>
    <row r="565" customFormat="false" ht="15" hidden="false" customHeight="fals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2"/>
      <c r="M565" s="18"/>
      <c r="N565" s="12"/>
      <c r="O565" s="12"/>
      <c r="P565" s="12"/>
      <c r="Q565" s="18"/>
    </row>
    <row r="566" customFormat="false" ht="15" hidden="false" customHeight="fals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2"/>
      <c r="M566" s="18"/>
      <c r="N566" s="12"/>
      <c r="O566" s="12"/>
      <c r="P566" s="12"/>
      <c r="Q566" s="18"/>
    </row>
    <row r="567" customFormat="false" ht="15" hidden="false" customHeight="fals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2"/>
      <c r="M567" s="18"/>
      <c r="N567" s="12"/>
      <c r="O567" s="12"/>
      <c r="P567" s="12"/>
      <c r="Q567" s="18"/>
    </row>
    <row r="568" customFormat="false" ht="15" hidden="false" customHeight="fals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2"/>
      <c r="M568" s="18"/>
      <c r="N568" s="12"/>
      <c r="O568" s="12"/>
      <c r="P568" s="12"/>
      <c r="Q568" s="18"/>
    </row>
    <row r="569" customFormat="false" ht="15" hidden="false" customHeight="fals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2"/>
      <c r="M569" s="18"/>
      <c r="N569" s="12"/>
      <c r="O569" s="12"/>
      <c r="P569" s="12"/>
      <c r="Q569" s="18"/>
    </row>
    <row r="570" customFormat="false" ht="15" hidden="false" customHeight="fals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2"/>
      <c r="M570" s="18"/>
      <c r="N570" s="12"/>
      <c r="O570" s="12"/>
      <c r="P570" s="12"/>
      <c r="Q570" s="18"/>
    </row>
    <row r="571" customFormat="false" ht="15" hidden="false" customHeight="fals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2"/>
      <c r="M571" s="18"/>
      <c r="N571" s="12"/>
      <c r="O571" s="12"/>
      <c r="P571" s="12"/>
      <c r="Q571" s="18"/>
    </row>
    <row r="572" customFormat="false" ht="15" hidden="false" customHeight="fals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2"/>
      <c r="M572" s="18"/>
      <c r="N572" s="12"/>
      <c r="O572" s="12"/>
      <c r="P572" s="12"/>
      <c r="Q572" s="18"/>
    </row>
    <row r="573" customFormat="false" ht="15" hidden="false" customHeight="fals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2"/>
      <c r="M573" s="18"/>
      <c r="N573" s="12"/>
      <c r="O573" s="12"/>
      <c r="P573" s="12"/>
      <c r="Q573" s="18"/>
    </row>
    <row r="574" customFormat="false" ht="15" hidden="false" customHeight="fals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2"/>
      <c r="M574" s="18"/>
      <c r="N574" s="12"/>
      <c r="O574" s="12"/>
      <c r="P574" s="12"/>
      <c r="Q574" s="18"/>
    </row>
    <row r="575" customFormat="false" ht="15" hidden="false" customHeight="fals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2"/>
      <c r="M575" s="18"/>
      <c r="N575" s="12"/>
      <c r="O575" s="12"/>
      <c r="P575" s="12"/>
      <c r="Q575" s="18"/>
    </row>
    <row r="576" customFormat="false" ht="15" hidden="false" customHeight="fals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2"/>
      <c r="M576" s="18"/>
      <c r="N576" s="12"/>
      <c r="O576" s="12"/>
      <c r="P576" s="12"/>
      <c r="Q576" s="18"/>
    </row>
    <row r="577" customFormat="false" ht="15" hidden="false" customHeight="fals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2"/>
      <c r="M577" s="18"/>
      <c r="N577" s="12"/>
      <c r="O577" s="12"/>
      <c r="P577" s="12"/>
      <c r="Q577" s="18"/>
    </row>
    <row r="578" customFormat="false" ht="15" hidden="false" customHeight="fals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2"/>
      <c r="M578" s="18"/>
      <c r="N578" s="12"/>
      <c r="O578" s="12"/>
      <c r="P578" s="12"/>
      <c r="Q578" s="18"/>
    </row>
    <row r="579" customFormat="false" ht="15" hidden="false" customHeight="fals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2"/>
      <c r="M579" s="18"/>
      <c r="N579" s="12"/>
      <c r="O579" s="12"/>
      <c r="P579" s="12"/>
      <c r="Q579" s="18"/>
    </row>
    <row r="580" customFormat="false" ht="15" hidden="false" customHeight="fals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2"/>
      <c r="M580" s="18"/>
      <c r="N580" s="12"/>
      <c r="O580" s="12"/>
      <c r="P580" s="12"/>
      <c r="Q580" s="18"/>
    </row>
    <row r="581" customFormat="false" ht="15" hidden="false" customHeight="fals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2"/>
      <c r="M581" s="18"/>
      <c r="N581" s="12"/>
      <c r="O581" s="12"/>
      <c r="P581" s="12"/>
      <c r="Q581" s="18"/>
    </row>
    <row r="582" customFormat="false" ht="15" hidden="false" customHeight="fals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2"/>
      <c r="M582" s="18"/>
      <c r="N582" s="12"/>
      <c r="O582" s="12"/>
      <c r="P582" s="12"/>
      <c r="Q582" s="18"/>
    </row>
    <row r="583" customFormat="false" ht="15" hidden="false" customHeight="fals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2"/>
      <c r="M583" s="18"/>
      <c r="N583" s="12"/>
      <c r="O583" s="12"/>
      <c r="P583" s="12"/>
      <c r="Q583" s="18"/>
    </row>
    <row r="584" customFormat="false" ht="15" hidden="false" customHeight="fals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2"/>
      <c r="M584" s="18"/>
      <c r="N584" s="12"/>
      <c r="O584" s="12"/>
      <c r="P584" s="12"/>
      <c r="Q584" s="18"/>
    </row>
    <row r="585" customFormat="false" ht="15" hidden="false" customHeight="fals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2"/>
      <c r="M585" s="18"/>
      <c r="N585" s="12"/>
      <c r="O585" s="12"/>
      <c r="P585" s="12"/>
      <c r="Q585" s="18"/>
    </row>
    <row r="586" customFormat="false" ht="15" hidden="false" customHeight="fals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2"/>
      <c r="M586" s="18"/>
      <c r="N586" s="12"/>
      <c r="O586" s="12"/>
      <c r="P586" s="12"/>
      <c r="Q586" s="18"/>
    </row>
    <row r="587" customFormat="false" ht="15" hidden="false" customHeight="fals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2"/>
      <c r="M587" s="18"/>
      <c r="N587" s="12"/>
      <c r="O587" s="12"/>
      <c r="P587" s="12"/>
      <c r="Q587" s="18"/>
    </row>
    <row r="588" customFormat="false" ht="15" hidden="false" customHeight="fals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2"/>
      <c r="M588" s="18"/>
      <c r="N588" s="12"/>
      <c r="O588" s="12"/>
      <c r="P588" s="12"/>
      <c r="Q588" s="18"/>
    </row>
    <row r="589" customFormat="false" ht="15" hidden="false" customHeight="fals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2"/>
      <c r="M589" s="18"/>
      <c r="N589" s="12"/>
      <c r="O589" s="12"/>
      <c r="P589" s="12"/>
      <c r="Q589" s="18"/>
    </row>
    <row r="590" customFormat="false" ht="15" hidden="false" customHeight="fals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2"/>
      <c r="M590" s="18"/>
      <c r="N590" s="12"/>
      <c r="O590" s="12"/>
      <c r="P590" s="12"/>
      <c r="Q590" s="18"/>
    </row>
    <row r="591" customFormat="false" ht="15" hidden="false" customHeight="fals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2"/>
      <c r="M591" s="18"/>
      <c r="N591" s="12"/>
      <c r="O591" s="12"/>
      <c r="P591" s="12"/>
      <c r="Q591" s="18"/>
    </row>
    <row r="592" customFormat="false" ht="15" hidden="false" customHeight="fals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2"/>
      <c r="M592" s="18"/>
      <c r="N592" s="12"/>
      <c r="O592" s="12"/>
      <c r="P592" s="12"/>
      <c r="Q592" s="18"/>
    </row>
    <row r="593" customFormat="false" ht="15" hidden="false" customHeight="fals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2"/>
      <c r="M593" s="18"/>
      <c r="N593" s="12"/>
      <c r="O593" s="12"/>
      <c r="P593" s="12"/>
      <c r="Q593" s="18"/>
    </row>
    <row r="594" customFormat="false" ht="15" hidden="false" customHeight="fals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2"/>
      <c r="M594" s="18"/>
      <c r="N594" s="12"/>
      <c r="O594" s="12"/>
      <c r="P594" s="12"/>
      <c r="Q594" s="18"/>
    </row>
    <row r="595" customFormat="false" ht="15" hidden="false" customHeight="fals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2"/>
      <c r="M595" s="18"/>
      <c r="N595" s="12"/>
      <c r="O595" s="12"/>
      <c r="P595" s="12"/>
      <c r="Q595" s="18"/>
    </row>
    <row r="596" customFormat="false" ht="15" hidden="false" customHeight="fals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2"/>
      <c r="M596" s="18"/>
      <c r="N596" s="12"/>
      <c r="O596" s="12"/>
      <c r="P596" s="12"/>
      <c r="Q596" s="18"/>
    </row>
    <row r="597" customFormat="false" ht="15" hidden="false" customHeight="fals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2"/>
      <c r="M597" s="18"/>
      <c r="N597" s="12"/>
      <c r="O597" s="12"/>
      <c r="P597" s="12"/>
      <c r="Q597" s="18"/>
    </row>
    <row r="598" customFormat="false" ht="15" hidden="false" customHeight="fals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2"/>
      <c r="M598" s="18"/>
      <c r="N598" s="12"/>
      <c r="O598" s="12"/>
      <c r="P598" s="12"/>
      <c r="Q598" s="18"/>
    </row>
    <row r="599" customFormat="false" ht="15" hidden="false" customHeight="fals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2"/>
      <c r="M599" s="18"/>
      <c r="N599" s="12"/>
      <c r="O599" s="12"/>
      <c r="P599" s="12"/>
      <c r="Q599" s="18"/>
    </row>
    <row r="600" customFormat="false" ht="15" hidden="false" customHeight="fals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2"/>
      <c r="M600" s="18"/>
      <c r="N600" s="12"/>
      <c r="O600" s="12"/>
      <c r="P600" s="12"/>
      <c r="Q600" s="18"/>
    </row>
    <row r="601" customFormat="false" ht="15" hidden="false" customHeight="fals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2"/>
      <c r="M601" s="18"/>
      <c r="N601" s="12"/>
      <c r="O601" s="12"/>
      <c r="P601" s="12"/>
      <c r="Q601" s="18"/>
    </row>
    <row r="602" customFormat="false" ht="15" hidden="false" customHeight="fals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2"/>
      <c r="M602" s="18"/>
      <c r="N602" s="12"/>
      <c r="O602" s="12"/>
      <c r="P602" s="12"/>
      <c r="Q602" s="18"/>
    </row>
    <row r="603" customFormat="false" ht="15" hidden="false" customHeight="fals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2"/>
      <c r="M603" s="18"/>
      <c r="N603" s="12"/>
      <c r="O603" s="12"/>
      <c r="P603" s="12"/>
      <c r="Q603" s="18"/>
    </row>
    <row r="604" customFormat="false" ht="15" hidden="false" customHeight="fals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2"/>
      <c r="M604" s="18"/>
      <c r="N604" s="12"/>
      <c r="O604" s="12"/>
      <c r="P604" s="12"/>
      <c r="Q604" s="18"/>
    </row>
    <row r="605" customFormat="false" ht="15" hidden="false" customHeight="fals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2"/>
      <c r="M605" s="18"/>
      <c r="N605" s="12"/>
      <c r="O605" s="12"/>
      <c r="P605" s="12"/>
      <c r="Q605" s="18"/>
    </row>
    <row r="606" customFormat="false" ht="15" hidden="false" customHeight="fals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2"/>
      <c r="M606" s="18"/>
      <c r="N606" s="12"/>
      <c r="O606" s="12"/>
      <c r="P606" s="12"/>
      <c r="Q606" s="18"/>
    </row>
    <row r="607" customFormat="false" ht="15" hidden="false" customHeight="fals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2"/>
      <c r="M607" s="18"/>
      <c r="N607" s="12"/>
      <c r="O607" s="12"/>
      <c r="P607" s="12"/>
      <c r="Q607" s="18"/>
    </row>
    <row r="608" customFormat="false" ht="15" hidden="false" customHeight="fals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2"/>
      <c r="M608" s="18"/>
      <c r="N608" s="12"/>
      <c r="O608" s="12"/>
      <c r="P608" s="12"/>
      <c r="Q608" s="18"/>
    </row>
    <row r="609" customFormat="false" ht="15" hidden="false" customHeight="fals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2"/>
      <c r="M609" s="18"/>
      <c r="N609" s="12"/>
      <c r="O609" s="12"/>
      <c r="P609" s="12"/>
      <c r="Q609" s="18"/>
    </row>
    <row r="610" customFormat="false" ht="15" hidden="false" customHeight="fals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2"/>
      <c r="M610" s="18"/>
      <c r="N610" s="12"/>
      <c r="O610" s="12"/>
      <c r="P610" s="12"/>
      <c r="Q610" s="18"/>
    </row>
    <row r="611" customFormat="false" ht="15" hidden="false" customHeight="fals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2"/>
      <c r="M611" s="18"/>
      <c r="N611" s="12"/>
      <c r="O611" s="12"/>
      <c r="P611" s="12"/>
      <c r="Q611" s="18"/>
    </row>
    <row r="612" customFormat="false" ht="15" hidden="false" customHeight="fals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2"/>
      <c r="M612" s="18"/>
      <c r="N612" s="12"/>
      <c r="O612" s="12"/>
      <c r="P612" s="12"/>
      <c r="Q612" s="18"/>
    </row>
    <row r="613" customFormat="false" ht="15" hidden="false" customHeight="fals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2"/>
      <c r="M613" s="18"/>
      <c r="N613" s="12"/>
      <c r="O613" s="12"/>
      <c r="P613" s="12"/>
      <c r="Q613" s="18"/>
    </row>
    <row r="614" customFormat="false" ht="15" hidden="false" customHeight="fals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2"/>
      <c r="M614" s="18"/>
      <c r="N614" s="12"/>
      <c r="O614" s="12"/>
      <c r="P614" s="12"/>
      <c r="Q614" s="18"/>
    </row>
    <row r="615" customFormat="false" ht="15" hidden="false" customHeight="fals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2"/>
      <c r="M615" s="18"/>
      <c r="N615" s="12"/>
      <c r="O615" s="12"/>
      <c r="P615" s="12"/>
      <c r="Q615" s="18"/>
    </row>
    <row r="616" customFormat="false" ht="15" hidden="false" customHeight="fals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2"/>
      <c r="M616" s="18"/>
      <c r="N616" s="12"/>
      <c r="O616" s="12"/>
      <c r="P616" s="12"/>
      <c r="Q616" s="18"/>
    </row>
    <row r="617" customFormat="false" ht="15" hidden="false" customHeight="fals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2"/>
      <c r="M617" s="18"/>
      <c r="N617" s="12"/>
      <c r="O617" s="12"/>
      <c r="P617" s="12"/>
      <c r="Q617" s="18"/>
    </row>
    <row r="618" customFormat="false" ht="15" hidden="false" customHeight="fals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2"/>
      <c r="M618" s="18"/>
      <c r="N618" s="12"/>
      <c r="O618" s="12"/>
      <c r="P618" s="12"/>
      <c r="Q618" s="18"/>
    </row>
    <row r="619" customFormat="false" ht="15" hidden="false" customHeight="fals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2"/>
      <c r="M619" s="18"/>
      <c r="N619" s="12"/>
      <c r="O619" s="12"/>
      <c r="P619" s="12"/>
      <c r="Q619" s="18"/>
    </row>
    <row r="620" customFormat="false" ht="15" hidden="false" customHeight="fals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2"/>
      <c r="M620" s="18"/>
      <c r="N620" s="12"/>
      <c r="O620" s="12"/>
      <c r="P620" s="12"/>
      <c r="Q620" s="18"/>
    </row>
    <row r="621" customFormat="false" ht="15" hidden="false" customHeight="fals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2"/>
      <c r="M621" s="18"/>
      <c r="N621" s="12"/>
      <c r="O621" s="12"/>
      <c r="P621" s="12"/>
      <c r="Q621" s="18"/>
    </row>
    <row r="622" customFormat="false" ht="15" hidden="false" customHeight="fals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2"/>
      <c r="M622" s="18"/>
      <c r="N622" s="12"/>
      <c r="O622" s="12"/>
      <c r="P622" s="12"/>
      <c r="Q622" s="18"/>
    </row>
    <row r="623" customFormat="false" ht="15" hidden="false" customHeight="fals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2"/>
      <c r="M623" s="18"/>
      <c r="N623" s="12"/>
      <c r="O623" s="12"/>
      <c r="P623" s="12"/>
      <c r="Q623" s="18"/>
    </row>
    <row r="624" customFormat="false" ht="15" hidden="false" customHeight="fals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2"/>
      <c r="M624" s="18"/>
      <c r="N624" s="12"/>
      <c r="O624" s="12"/>
      <c r="P624" s="12"/>
      <c r="Q624" s="18"/>
    </row>
    <row r="625" customFormat="false" ht="15" hidden="false" customHeight="fals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2"/>
      <c r="M625" s="18"/>
      <c r="N625" s="12"/>
      <c r="O625" s="12"/>
      <c r="P625" s="12"/>
      <c r="Q625" s="18"/>
    </row>
    <row r="626" customFormat="false" ht="15" hidden="false" customHeight="fals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2"/>
      <c r="M626" s="18"/>
      <c r="N626" s="12"/>
      <c r="O626" s="12"/>
      <c r="P626" s="12"/>
      <c r="Q626" s="18"/>
    </row>
    <row r="627" customFormat="false" ht="15" hidden="false" customHeight="fals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2"/>
      <c r="M627" s="18"/>
      <c r="N627" s="12"/>
      <c r="O627" s="12"/>
      <c r="P627" s="12"/>
      <c r="Q627" s="18"/>
    </row>
    <row r="628" customFormat="false" ht="15" hidden="false" customHeight="fals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2"/>
      <c r="M628" s="18"/>
      <c r="N628" s="12"/>
      <c r="O628" s="12"/>
      <c r="P628" s="12"/>
      <c r="Q628" s="18"/>
    </row>
    <row r="629" customFormat="false" ht="15" hidden="false" customHeight="fals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2"/>
      <c r="M629" s="18"/>
      <c r="N629" s="12"/>
      <c r="O629" s="12"/>
      <c r="P629" s="12"/>
      <c r="Q629" s="18"/>
    </row>
    <row r="630" customFormat="false" ht="15" hidden="false" customHeight="fals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2"/>
      <c r="M630" s="18"/>
      <c r="N630" s="12"/>
      <c r="O630" s="12"/>
      <c r="P630" s="12"/>
      <c r="Q630" s="18"/>
    </row>
    <row r="631" customFormat="false" ht="15" hidden="false" customHeight="fals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2"/>
      <c r="M631" s="18"/>
      <c r="N631" s="12"/>
      <c r="O631" s="12"/>
      <c r="P631" s="12"/>
      <c r="Q631" s="18"/>
    </row>
    <row r="632" customFormat="false" ht="15" hidden="false" customHeight="fals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2"/>
      <c r="M632" s="18"/>
      <c r="N632" s="12"/>
      <c r="O632" s="12"/>
      <c r="P632" s="12"/>
      <c r="Q632" s="18"/>
    </row>
    <row r="633" customFormat="false" ht="15" hidden="false" customHeight="fals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2"/>
      <c r="M633" s="18"/>
      <c r="N633" s="12"/>
      <c r="O633" s="12"/>
      <c r="P633" s="12"/>
      <c r="Q633" s="18"/>
    </row>
    <row r="634" customFormat="false" ht="15" hidden="false" customHeight="fals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2"/>
      <c r="M634" s="18"/>
      <c r="N634" s="12"/>
      <c r="O634" s="12"/>
      <c r="P634" s="12"/>
      <c r="Q634" s="18"/>
    </row>
    <row r="635" customFormat="false" ht="15" hidden="false" customHeight="fals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2"/>
      <c r="M635" s="18"/>
      <c r="N635" s="12"/>
      <c r="O635" s="12"/>
      <c r="P635" s="12"/>
      <c r="Q635" s="18"/>
    </row>
    <row r="636" customFormat="false" ht="15" hidden="false" customHeight="fals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2"/>
      <c r="M636" s="18"/>
      <c r="N636" s="12"/>
      <c r="O636" s="12"/>
      <c r="P636" s="12"/>
      <c r="Q636" s="18"/>
    </row>
    <row r="637" customFormat="false" ht="15" hidden="false" customHeight="fals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2"/>
      <c r="M637" s="18"/>
      <c r="N637" s="12"/>
      <c r="O637" s="12"/>
      <c r="P637" s="12"/>
      <c r="Q637" s="18"/>
    </row>
    <row r="638" customFormat="false" ht="15" hidden="false" customHeight="fals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2"/>
      <c r="M638" s="18"/>
      <c r="N638" s="12"/>
      <c r="O638" s="12"/>
      <c r="P638" s="12"/>
      <c r="Q638" s="18"/>
    </row>
    <row r="639" customFormat="false" ht="15" hidden="false" customHeight="fals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2"/>
      <c r="M639" s="18"/>
      <c r="N639" s="12"/>
      <c r="O639" s="12"/>
      <c r="P639" s="12"/>
      <c r="Q639" s="18"/>
    </row>
    <row r="640" customFormat="false" ht="15" hidden="false" customHeight="fals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2"/>
      <c r="M640" s="18"/>
      <c r="N640" s="12"/>
      <c r="O640" s="12"/>
      <c r="P640" s="12"/>
      <c r="Q640" s="18"/>
    </row>
    <row r="641" customFormat="false" ht="15" hidden="false" customHeight="fals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2"/>
      <c r="M641" s="18"/>
      <c r="N641" s="12"/>
      <c r="O641" s="12"/>
      <c r="P641" s="12"/>
      <c r="Q641" s="18"/>
    </row>
    <row r="642" customFormat="false" ht="15" hidden="false" customHeight="fals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2"/>
      <c r="M642" s="18"/>
      <c r="N642" s="12"/>
      <c r="O642" s="12"/>
      <c r="P642" s="12"/>
      <c r="Q642" s="18"/>
    </row>
    <row r="643" customFormat="false" ht="15" hidden="false" customHeight="fals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2"/>
      <c r="M643" s="18"/>
      <c r="N643" s="12"/>
      <c r="O643" s="12"/>
      <c r="P643" s="12"/>
      <c r="Q643" s="18"/>
    </row>
    <row r="644" customFormat="false" ht="15" hidden="false" customHeight="fals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2"/>
      <c r="M644" s="18"/>
      <c r="N644" s="12"/>
      <c r="O644" s="12"/>
      <c r="P644" s="12"/>
      <c r="Q644" s="18"/>
    </row>
    <row r="645" customFormat="false" ht="15" hidden="false" customHeight="fals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2"/>
      <c r="M645" s="18"/>
      <c r="N645" s="12"/>
      <c r="O645" s="12"/>
      <c r="P645" s="12"/>
      <c r="Q645" s="18"/>
    </row>
    <row r="646" customFormat="false" ht="15" hidden="false" customHeight="fals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2"/>
      <c r="M646" s="18"/>
      <c r="N646" s="12"/>
      <c r="O646" s="12"/>
      <c r="P646" s="12"/>
      <c r="Q646" s="18"/>
    </row>
    <row r="647" customFormat="false" ht="15" hidden="false" customHeight="fals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2"/>
      <c r="M647" s="18"/>
      <c r="N647" s="12"/>
      <c r="O647" s="12"/>
      <c r="P647" s="12"/>
      <c r="Q647" s="18"/>
    </row>
    <row r="648" customFormat="false" ht="15" hidden="false" customHeight="fals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2"/>
      <c r="M648" s="18"/>
      <c r="N648" s="12"/>
      <c r="O648" s="12"/>
      <c r="P648" s="12"/>
      <c r="Q648" s="18"/>
    </row>
    <row r="649" customFormat="false" ht="15" hidden="false" customHeight="fals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2"/>
      <c r="M649" s="18"/>
      <c r="N649" s="12"/>
      <c r="O649" s="12"/>
      <c r="P649" s="12"/>
      <c r="Q649" s="18"/>
    </row>
    <row r="650" customFormat="false" ht="15" hidden="false" customHeight="fals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2"/>
      <c r="M650" s="18"/>
      <c r="N650" s="12"/>
      <c r="O650" s="12"/>
      <c r="P650" s="12"/>
      <c r="Q650" s="18"/>
    </row>
    <row r="651" customFormat="false" ht="15" hidden="false" customHeight="fals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2"/>
      <c r="M651" s="18"/>
      <c r="N651" s="12"/>
      <c r="O651" s="12"/>
      <c r="P651" s="12"/>
      <c r="Q651" s="18"/>
    </row>
    <row r="652" customFormat="false" ht="15" hidden="false" customHeight="fals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2"/>
      <c r="M652" s="18"/>
      <c r="N652" s="12"/>
      <c r="O652" s="12"/>
      <c r="P652" s="12"/>
      <c r="Q652" s="18"/>
    </row>
    <row r="653" customFormat="false" ht="15" hidden="false" customHeight="fals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2"/>
      <c r="M653" s="18"/>
      <c r="N653" s="12"/>
      <c r="O653" s="12"/>
      <c r="P653" s="12"/>
      <c r="Q653" s="18"/>
    </row>
    <row r="654" customFormat="false" ht="15" hidden="false" customHeight="fals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2"/>
      <c r="M654" s="18"/>
      <c r="N654" s="12"/>
      <c r="O654" s="12"/>
      <c r="P654" s="12"/>
      <c r="Q654" s="18"/>
    </row>
    <row r="655" customFormat="false" ht="15" hidden="false" customHeight="fals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2"/>
      <c r="M655" s="18"/>
      <c r="N655" s="12"/>
      <c r="O655" s="12"/>
      <c r="P655" s="12"/>
      <c r="Q655" s="18"/>
    </row>
    <row r="656" customFormat="false" ht="15" hidden="false" customHeight="fals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2"/>
      <c r="M656" s="18"/>
      <c r="N656" s="12"/>
      <c r="O656" s="12"/>
      <c r="P656" s="12"/>
      <c r="Q656" s="18"/>
    </row>
    <row r="657" customFormat="false" ht="15" hidden="false" customHeight="fals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2"/>
      <c r="M657" s="18"/>
      <c r="N657" s="12"/>
      <c r="O657" s="12"/>
      <c r="P657" s="12"/>
      <c r="Q657" s="18"/>
    </row>
    <row r="658" customFormat="false" ht="15" hidden="false" customHeight="fals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2"/>
      <c r="M658" s="18"/>
      <c r="N658" s="12"/>
      <c r="O658" s="12"/>
      <c r="P658" s="12"/>
      <c r="Q658" s="18"/>
    </row>
    <row r="659" customFormat="false" ht="15" hidden="false" customHeight="fals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2"/>
      <c r="M659" s="18"/>
      <c r="N659" s="12"/>
      <c r="O659" s="12"/>
      <c r="P659" s="12"/>
      <c r="Q659" s="18"/>
    </row>
    <row r="660" customFormat="false" ht="15" hidden="false" customHeight="fals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2"/>
      <c r="M660" s="18"/>
      <c r="N660" s="12"/>
      <c r="O660" s="12"/>
      <c r="P660" s="12"/>
      <c r="Q660" s="18"/>
    </row>
    <row r="661" customFormat="false" ht="15" hidden="false" customHeight="fals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2"/>
      <c r="M661" s="18"/>
      <c r="N661" s="12"/>
      <c r="O661" s="12"/>
      <c r="P661" s="12"/>
      <c r="Q661" s="18"/>
    </row>
    <row r="662" customFormat="false" ht="15" hidden="false" customHeight="fals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2"/>
      <c r="M662" s="18"/>
      <c r="N662" s="12"/>
      <c r="O662" s="12"/>
      <c r="P662" s="12"/>
      <c r="Q662" s="18"/>
    </row>
    <row r="663" customFormat="false" ht="15" hidden="false" customHeight="fals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2"/>
      <c r="M663" s="18"/>
      <c r="N663" s="12"/>
      <c r="O663" s="12"/>
      <c r="P663" s="12"/>
      <c r="Q663" s="18"/>
    </row>
    <row r="664" customFormat="false" ht="15" hidden="false" customHeight="fals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2"/>
      <c r="M664" s="18"/>
      <c r="N664" s="12"/>
      <c r="O664" s="12"/>
      <c r="P664" s="12"/>
      <c r="Q664" s="18"/>
    </row>
    <row r="665" customFormat="false" ht="15" hidden="false" customHeight="fals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2"/>
      <c r="M665" s="18"/>
      <c r="N665" s="12"/>
      <c r="O665" s="12"/>
      <c r="P665" s="12"/>
      <c r="Q665" s="18"/>
    </row>
    <row r="666" customFormat="false" ht="15" hidden="false" customHeight="fals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2"/>
      <c r="M666" s="18"/>
      <c r="N666" s="12"/>
      <c r="O666" s="12"/>
      <c r="P666" s="12"/>
      <c r="Q666" s="18"/>
    </row>
    <row r="667" customFormat="false" ht="15" hidden="false" customHeight="fals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2"/>
      <c r="M667" s="18"/>
      <c r="N667" s="12"/>
      <c r="O667" s="12"/>
      <c r="P667" s="12"/>
      <c r="Q667" s="18"/>
    </row>
    <row r="668" customFormat="false" ht="15" hidden="false" customHeight="fals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2"/>
      <c r="M668" s="18"/>
      <c r="N668" s="12"/>
      <c r="O668" s="12"/>
      <c r="P668" s="12"/>
      <c r="Q668" s="18"/>
    </row>
    <row r="669" customFormat="false" ht="15" hidden="false" customHeight="fals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2"/>
      <c r="M669" s="18"/>
      <c r="N669" s="12"/>
      <c r="O669" s="12"/>
      <c r="P669" s="12"/>
      <c r="Q669" s="18"/>
    </row>
    <row r="670" customFormat="false" ht="15" hidden="false" customHeight="fals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2"/>
      <c r="M670" s="18"/>
      <c r="N670" s="12"/>
      <c r="O670" s="12"/>
      <c r="P670" s="12"/>
      <c r="Q670" s="18"/>
    </row>
    <row r="671" customFormat="false" ht="15" hidden="false" customHeight="fals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2"/>
      <c r="M671" s="18"/>
      <c r="N671" s="12"/>
      <c r="O671" s="12"/>
      <c r="P671" s="12"/>
      <c r="Q671" s="18"/>
    </row>
    <row r="672" customFormat="false" ht="15" hidden="false" customHeight="fals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2"/>
      <c r="M672" s="18"/>
      <c r="N672" s="12"/>
      <c r="O672" s="12"/>
      <c r="P672" s="12"/>
      <c r="Q672" s="18"/>
    </row>
    <row r="673" customFormat="false" ht="15" hidden="false" customHeight="fals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2"/>
      <c r="M673" s="18"/>
      <c r="N673" s="12"/>
      <c r="O673" s="12"/>
      <c r="P673" s="12"/>
      <c r="Q673" s="18"/>
    </row>
    <row r="674" customFormat="false" ht="15" hidden="false" customHeight="fals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2"/>
      <c r="M674" s="18"/>
      <c r="N674" s="12"/>
      <c r="O674" s="12"/>
      <c r="P674" s="12"/>
      <c r="Q674" s="18"/>
    </row>
    <row r="675" customFormat="false" ht="15" hidden="false" customHeight="fals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2"/>
      <c r="M675" s="18"/>
      <c r="N675" s="12"/>
      <c r="O675" s="12"/>
      <c r="P675" s="12"/>
      <c r="Q675" s="18"/>
    </row>
    <row r="676" customFormat="false" ht="15" hidden="false" customHeight="fals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2"/>
      <c r="M676" s="18"/>
      <c r="N676" s="12"/>
      <c r="O676" s="12"/>
      <c r="P676" s="12"/>
      <c r="Q676" s="18"/>
    </row>
    <row r="677" customFormat="false" ht="15" hidden="false" customHeight="fals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2"/>
      <c r="M677" s="18"/>
      <c r="N677" s="12"/>
      <c r="O677" s="12"/>
      <c r="P677" s="12"/>
      <c r="Q677" s="18"/>
    </row>
    <row r="678" customFormat="false" ht="15" hidden="false" customHeight="fals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2"/>
      <c r="M678" s="18"/>
      <c r="N678" s="12"/>
      <c r="O678" s="12"/>
      <c r="P678" s="12"/>
      <c r="Q678" s="18"/>
    </row>
    <row r="679" customFormat="false" ht="15" hidden="false" customHeight="fals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2"/>
      <c r="M679" s="18"/>
      <c r="N679" s="12"/>
      <c r="O679" s="12"/>
      <c r="P679" s="12"/>
      <c r="Q679" s="18"/>
    </row>
    <row r="680" customFormat="false" ht="15" hidden="false" customHeight="fals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2"/>
      <c r="M680" s="18"/>
      <c r="N680" s="12"/>
      <c r="O680" s="12"/>
      <c r="P680" s="12"/>
      <c r="Q680" s="18"/>
    </row>
    <row r="681" customFormat="false" ht="15" hidden="false" customHeight="fals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2"/>
      <c r="M681" s="18"/>
      <c r="N681" s="12"/>
      <c r="O681" s="12"/>
      <c r="P681" s="12"/>
      <c r="Q681" s="18"/>
    </row>
    <row r="682" customFormat="false" ht="15" hidden="false" customHeight="fals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2"/>
      <c r="M682" s="18"/>
      <c r="N682" s="12"/>
      <c r="O682" s="12"/>
      <c r="P682" s="12"/>
      <c r="Q682" s="18"/>
    </row>
    <row r="683" customFormat="false" ht="15" hidden="false" customHeight="fals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2"/>
      <c r="M683" s="18"/>
      <c r="N683" s="12"/>
      <c r="O683" s="12"/>
      <c r="P683" s="12"/>
      <c r="Q683" s="18"/>
    </row>
    <row r="684" customFormat="false" ht="15" hidden="false" customHeight="fals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2"/>
      <c r="M684" s="18"/>
      <c r="N684" s="12"/>
      <c r="O684" s="12"/>
      <c r="P684" s="12"/>
      <c r="Q684" s="18"/>
    </row>
    <row r="685" customFormat="false" ht="15" hidden="false" customHeight="fals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2"/>
      <c r="M685" s="18"/>
      <c r="N685" s="12"/>
      <c r="O685" s="12"/>
      <c r="P685" s="12"/>
      <c r="Q685" s="18"/>
    </row>
    <row r="686" customFormat="false" ht="15" hidden="false" customHeight="fals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2"/>
      <c r="M686" s="18"/>
      <c r="N686" s="12"/>
      <c r="O686" s="12"/>
      <c r="P686" s="12"/>
      <c r="Q686" s="18"/>
    </row>
    <row r="687" customFormat="false" ht="15" hidden="false" customHeight="fals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2"/>
      <c r="M687" s="18"/>
      <c r="N687" s="12"/>
      <c r="O687" s="12"/>
      <c r="P687" s="12"/>
      <c r="Q687" s="18"/>
    </row>
    <row r="688" customFormat="false" ht="15" hidden="false" customHeight="fals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2"/>
      <c r="M688" s="18"/>
      <c r="N688" s="12"/>
      <c r="O688" s="12"/>
      <c r="P688" s="12"/>
      <c r="Q688" s="18"/>
    </row>
    <row r="689" customFormat="false" ht="15" hidden="false" customHeight="fals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2"/>
      <c r="M689" s="18"/>
      <c r="N689" s="12"/>
      <c r="O689" s="12"/>
      <c r="P689" s="12"/>
      <c r="Q689" s="18"/>
    </row>
    <row r="690" customFormat="false" ht="15" hidden="false" customHeight="fals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2"/>
      <c r="M690" s="18"/>
      <c r="N690" s="12"/>
      <c r="O690" s="12"/>
      <c r="P690" s="12"/>
      <c r="Q690" s="18"/>
    </row>
    <row r="691" customFormat="false" ht="15" hidden="false" customHeight="fals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2"/>
      <c r="M691" s="18"/>
      <c r="N691" s="12"/>
      <c r="O691" s="12"/>
      <c r="P691" s="12"/>
      <c r="Q691" s="18"/>
    </row>
    <row r="692" customFormat="false" ht="15" hidden="false" customHeight="fals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2"/>
      <c r="M692" s="18"/>
      <c r="N692" s="12"/>
      <c r="O692" s="12"/>
      <c r="P692" s="12"/>
      <c r="Q692" s="18"/>
    </row>
    <row r="693" customFormat="false" ht="15" hidden="false" customHeight="fals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2"/>
      <c r="M693" s="18"/>
      <c r="N693" s="12"/>
      <c r="O693" s="12"/>
      <c r="P693" s="12"/>
      <c r="Q693" s="18"/>
    </row>
    <row r="694" customFormat="false" ht="15" hidden="false" customHeight="fals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2"/>
      <c r="M694" s="18"/>
      <c r="N694" s="12"/>
      <c r="O694" s="12"/>
      <c r="P694" s="12"/>
      <c r="Q694" s="18"/>
    </row>
    <row r="695" customFormat="false" ht="15" hidden="false" customHeight="fals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2"/>
      <c r="M695" s="18"/>
      <c r="N695" s="12"/>
      <c r="O695" s="12"/>
      <c r="P695" s="12"/>
      <c r="Q695" s="18"/>
    </row>
    <row r="696" customFormat="false" ht="15" hidden="false" customHeight="fals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2"/>
      <c r="M696" s="18"/>
      <c r="N696" s="12"/>
      <c r="O696" s="12"/>
      <c r="P696" s="12"/>
      <c r="Q696" s="18"/>
    </row>
    <row r="697" customFormat="false" ht="15" hidden="false" customHeight="fals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2"/>
      <c r="M697" s="18"/>
      <c r="N697" s="12"/>
      <c r="O697" s="12"/>
      <c r="P697" s="12"/>
      <c r="Q697" s="18"/>
    </row>
    <row r="698" customFormat="false" ht="15" hidden="false" customHeight="fals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2"/>
      <c r="M698" s="18"/>
      <c r="N698" s="12"/>
      <c r="O698" s="12"/>
      <c r="P698" s="12"/>
      <c r="Q698" s="18"/>
    </row>
    <row r="699" customFormat="false" ht="15" hidden="false" customHeight="fals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2"/>
      <c r="M699" s="18"/>
      <c r="N699" s="12"/>
      <c r="O699" s="12"/>
      <c r="P699" s="12"/>
      <c r="Q699" s="18"/>
    </row>
    <row r="700" customFormat="false" ht="15" hidden="false" customHeight="fals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2"/>
      <c r="M700" s="18"/>
      <c r="N700" s="12"/>
      <c r="O700" s="12"/>
      <c r="P700" s="12"/>
      <c r="Q700" s="18"/>
    </row>
    <row r="701" customFormat="false" ht="15" hidden="false" customHeight="fals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2"/>
      <c r="M701" s="18"/>
      <c r="N701" s="12"/>
      <c r="O701" s="12"/>
      <c r="P701" s="12"/>
      <c r="Q701" s="18"/>
    </row>
    <row r="702" customFormat="false" ht="15" hidden="false" customHeight="fals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2"/>
      <c r="M702" s="18"/>
      <c r="N702" s="12"/>
      <c r="O702" s="12"/>
      <c r="P702" s="12"/>
      <c r="Q702" s="18"/>
    </row>
    <row r="703" customFormat="false" ht="15" hidden="false" customHeight="fals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2"/>
      <c r="M703" s="18"/>
      <c r="N703" s="12"/>
      <c r="O703" s="12"/>
      <c r="P703" s="12"/>
      <c r="Q703" s="18"/>
    </row>
    <row r="704" customFormat="false" ht="15" hidden="false" customHeight="fals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2"/>
      <c r="M704" s="18"/>
      <c r="N704" s="12"/>
      <c r="O704" s="12"/>
      <c r="P704" s="12"/>
      <c r="Q704" s="18"/>
    </row>
    <row r="705" customFormat="false" ht="15" hidden="false" customHeight="fals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2"/>
      <c r="M705" s="18"/>
      <c r="N705" s="12"/>
      <c r="O705" s="12"/>
      <c r="P705" s="12"/>
      <c r="Q705" s="18"/>
    </row>
    <row r="706" customFormat="false" ht="15" hidden="false" customHeight="fals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2"/>
      <c r="M706" s="18"/>
      <c r="N706" s="12"/>
      <c r="O706" s="12"/>
      <c r="P706" s="12"/>
      <c r="Q706" s="18"/>
    </row>
    <row r="707" customFormat="false" ht="15" hidden="false" customHeight="fals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2"/>
      <c r="M707" s="18"/>
      <c r="N707" s="12"/>
      <c r="O707" s="12"/>
      <c r="P707" s="12"/>
      <c r="Q707" s="18"/>
    </row>
    <row r="708" customFormat="false" ht="15" hidden="false" customHeight="fals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2"/>
      <c r="M708" s="18"/>
      <c r="N708" s="12"/>
      <c r="O708" s="12"/>
      <c r="P708" s="12"/>
      <c r="Q708" s="18"/>
    </row>
    <row r="709" customFormat="false" ht="15" hidden="false" customHeight="fals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2"/>
      <c r="M709" s="18"/>
      <c r="N709" s="12"/>
      <c r="O709" s="12"/>
      <c r="P709" s="12"/>
      <c r="Q709" s="18"/>
    </row>
    <row r="710" customFormat="false" ht="15" hidden="false" customHeight="fals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2"/>
      <c r="M710" s="18"/>
      <c r="N710" s="12"/>
      <c r="O710" s="12"/>
      <c r="P710" s="12"/>
      <c r="Q710" s="18"/>
    </row>
    <row r="711" customFormat="false" ht="15" hidden="false" customHeight="fals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2"/>
      <c r="M711" s="18"/>
      <c r="N711" s="12"/>
      <c r="O711" s="12"/>
      <c r="P711" s="12"/>
      <c r="Q711" s="18"/>
    </row>
    <row r="712" customFormat="false" ht="15" hidden="false" customHeight="fals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2"/>
      <c r="M712" s="18"/>
      <c r="N712" s="12"/>
      <c r="O712" s="12"/>
      <c r="P712" s="12"/>
      <c r="Q712" s="18"/>
    </row>
    <row r="713" customFormat="false" ht="15" hidden="false" customHeight="fals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2"/>
      <c r="M713" s="18"/>
      <c r="N713" s="12"/>
      <c r="O713" s="12"/>
      <c r="P713" s="12"/>
      <c r="Q713" s="18"/>
    </row>
    <row r="714" customFormat="false" ht="15" hidden="false" customHeight="fals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2"/>
      <c r="M714" s="18"/>
      <c r="N714" s="12"/>
      <c r="O714" s="12"/>
      <c r="P714" s="12"/>
      <c r="Q714" s="18"/>
    </row>
    <row r="715" customFormat="false" ht="15" hidden="false" customHeight="fals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2"/>
      <c r="M715" s="18"/>
      <c r="N715" s="12"/>
      <c r="O715" s="12"/>
      <c r="P715" s="12"/>
      <c r="Q715" s="18"/>
    </row>
    <row r="716" customFormat="false" ht="15" hidden="false" customHeight="fals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2"/>
      <c r="M716" s="18"/>
      <c r="N716" s="12"/>
      <c r="O716" s="12"/>
      <c r="P716" s="12"/>
      <c r="Q716" s="18"/>
    </row>
    <row r="717" customFormat="false" ht="15" hidden="false" customHeight="fals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2"/>
      <c r="M717" s="18"/>
      <c r="N717" s="12"/>
      <c r="O717" s="12"/>
      <c r="P717" s="12"/>
      <c r="Q717" s="18"/>
    </row>
    <row r="718" customFormat="false" ht="15" hidden="false" customHeight="fals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2"/>
      <c r="M718" s="18"/>
      <c r="N718" s="12"/>
      <c r="O718" s="12"/>
      <c r="P718" s="12"/>
      <c r="Q718" s="18"/>
    </row>
    <row r="719" customFormat="false" ht="15" hidden="false" customHeight="fals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2"/>
      <c r="M719" s="18"/>
      <c r="N719" s="12"/>
      <c r="O719" s="12"/>
      <c r="P719" s="12"/>
      <c r="Q719" s="18"/>
    </row>
    <row r="720" customFormat="false" ht="15" hidden="false" customHeight="fals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2"/>
      <c r="M720" s="18"/>
      <c r="N720" s="12"/>
      <c r="O720" s="12"/>
      <c r="P720" s="12"/>
      <c r="Q720" s="18"/>
    </row>
    <row r="721" customFormat="false" ht="15" hidden="false" customHeight="fals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2"/>
      <c r="M721" s="18"/>
      <c r="N721" s="12"/>
      <c r="O721" s="12"/>
      <c r="P721" s="12"/>
      <c r="Q721" s="18"/>
    </row>
    <row r="722" customFormat="false" ht="15" hidden="false" customHeight="fals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2"/>
      <c r="M722" s="18"/>
      <c r="N722" s="12"/>
      <c r="O722" s="12"/>
      <c r="P722" s="12"/>
      <c r="Q722" s="18"/>
    </row>
    <row r="723" customFormat="false" ht="15" hidden="false" customHeight="fals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2"/>
      <c r="M723" s="18"/>
      <c r="N723" s="12"/>
      <c r="O723" s="12"/>
      <c r="P723" s="12"/>
      <c r="Q723" s="18"/>
    </row>
    <row r="724" customFormat="false" ht="15" hidden="false" customHeight="fals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2"/>
      <c r="M724" s="18"/>
      <c r="N724" s="12"/>
      <c r="O724" s="12"/>
      <c r="P724" s="12"/>
      <c r="Q724" s="18"/>
    </row>
    <row r="725" customFormat="false" ht="15" hidden="false" customHeight="fals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2"/>
      <c r="M725" s="18"/>
      <c r="N725" s="12"/>
      <c r="O725" s="12"/>
      <c r="P725" s="12"/>
      <c r="Q725" s="18"/>
    </row>
    <row r="726" customFormat="false" ht="15" hidden="false" customHeight="fals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2"/>
      <c r="M726" s="18"/>
      <c r="N726" s="12"/>
      <c r="O726" s="12"/>
      <c r="P726" s="12"/>
      <c r="Q726" s="18"/>
    </row>
    <row r="727" customFormat="false" ht="15" hidden="false" customHeight="fals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2"/>
      <c r="M727" s="18"/>
      <c r="N727" s="12"/>
      <c r="O727" s="12"/>
      <c r="P727" s="12"/>
      <c r="Q727" s="18"/>
    </row>
    <row r="728" customFormat="false" ht="15" hidden="false" customHeight="fals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2"/>
      <c r="M728" s="18"/>
      <c r="N728" s="12"/>
      <c r="O728" s="12"/>
      <c r="P728" s="12"/>
      <c r="Q728" s="18"/>
    </row>
    <row r="729" customFormat="false" ht="15" hidden="false" customHeight="fals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2"/>
      <c r="M729" s="18"/>
      <c r="N729" s="12"/>
      <c r="O729" s="12"/>
      <c r="P729" s="12"/>
      <c r="Q729" s="18"/>
    </row>
    <row r="730" customFormat="false" ht="15" hidden="false" customHeight="fals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2"/>
      <c r="M730" s="18"/>
      <c r="N730" s="12"/>
      <c r="O730" s="12"/>
      <c r="P730" s="12"/>
      <c r="Q730" s="18"/>
    </row>
    <row r="731" customFormat="false" ht="15" hidden="false" customHeight="fals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2"/>
      <c r="M731" s="18"/>
      <c r="N731" s="12"/>
      <c r="O731" s="12"/>
      <c r="P731" s="12"/>
      <c r="Q731" s="18"/>
    </row>
    <row r="732" customFormat="false" ht="15" hidden="false" customHeight="fals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2"/>
      <c r="M732" s="18"/>
      <c r="N732" s="12"/>
      <c r="O732" s="12"/>
      <c r="P732" s="12"/>
      <c r="Q732" s="18"/>
    </row>
    <row r="733" customFormat="false" ht="15" hidden="false" customHeight="fals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2"/>
      <c r="M733" s="18"/>
      <c r="N733" s="12"/>
      <c r="O733" s="12"/>
      <c r="P733" s="12"/>
      <c r="Q733" s="18"/>
    </row>
    <row r="734" customFormat="false" ht="15" hidden="false" customHeight="fals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2"/>
      <c r="M734" s="18"/>
      <c r="N734" s="12"/>
      <c r="O734" s="12"/>
      <c r="P734" s="12"/>
      <c r="Q734" s="18"/>
    </row>
    <row r="735" customFormat="false" ht="15" hidden="false" customHeight="fals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2"/>
      <c r="M735" s="18"/>
      <c r="N735" s="12"/>
      <c r="O735" s="12"/>
      <c r="P735" s="12"/>
      <c r="Q735" s="18"/>
    </row>
    <row r="736" customFormat="false" ht="15" hidden="false" customHeight="fals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2"/>
      <c r="M736" s="18"/>
      <c r="N736" s="12"/>
      <c r="O736" s="12"/>
      <c r="P736" s="12"/>
      <c r="Q736" s="18"/>
    </row>
    <row r="737" customFormat="false" ht="15" hidden="false" customHeight="fals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2"/>
      <c r="M737" s="18"/>
      <c r="N737" s="12"/>
      <c r="O737" s="12"/>
      <c r="P737" s="12"/>
      <c r="Q737" s="18"/>
    </row>
    <row r="738" customFormat="false" ht="15" hidden="false" customHeight="fals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2"/>
      <c r="M738" s="18"/>
      <c r="N738" s="12"/>
      <c r="O738" s="12"/>
      <c r="P738" s="12"/>
      <c r="Q738" s="18"/>
    </row>
    <row r="739" customFormat="false" ht="15" hidden="false" customHeight="fals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2"/>
      <c r="M739" s="18"/>
      <c r="N739" s="12"/>
      <c r="O739" s="12"/>
      <c r="P739" s="12"/>
      <c r="Q739" s="18"/>
    </row>
    <row r="740" customFormat="false" ht="15" hidden="false" customHeight="fals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2"/>
      <c r="M740" s="18"/>
      <c r="N740" s="12"/>
      <c r="O740" s="12"/>
      <c r="P740" s="12"/>
      <c r="Q740" s="18"/>
    </row>
    <row r="741" customFormat="false" ht="15" hidden="false" customHeight="fals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2"/>
      <c r="M741" s="18"/>
      <c r="N741" s="12"/>
      <c r="O741" s="12"/>
      <c r="P741" s="12"/>
      <c r="Q741" s="18"/>
    </row>
    <row r="742" customFormat="false" ht="15" hidden="false" customHeight="fals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2"/>
      <c r="M742" s="18"/>
      <c r="N742" s="12"/>
      <c r="O742" s="12"/>
      <c r="P742" s="12"/>
      <c r="Q742" s="18"/>
    </row>
    <row r="743" customFormat="false" ht="15" hidden="false" customHeight="fals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2"/>
      <c r="M743" s="18"/>
      <c r="N743" s="12"/>
      <c r="O743" s="12"/>
      <c r="P743" s="12"/>
      <c r="Q743" s="18"/>
    </row>
    <row r="744" customFormat="false" ht="15" hidden="false" customHeight="fals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2"/>
      <c r="M744" s="18"/>
      <c r="N744" s="12"/>
      <c r="O744" s="12"/>
      <c r="P744" s="12"/>
      <c r="Q744" s="18"/>
    </row>
    <row r="745" customFormat="false" ht="15" hidden="false" customHeight="fals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2"/>
      <c r="M745" s="18"/>
      <c r="N745" s="12"/>
      <c r="O745" s="12"/>
      <c r="P745" s="12"/>
      <c r="Q745" s="18"/>
    </row>
    <row r="746" customFormat="false" ht="15" hidden="false" customHeight="fals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2"/>
      <c r="M746" s="18"/>
      <c r="N746" s="12"/>
      <c r="O746" s="12"/>
      <c r="P746" s="12"/>
      <c r="Q746" s="18"/>
    </row>
    <row r="747" customFormat="false" ht="15" hidden="false" customHeight="fals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2"/>
      <c r="M747" s="18"/>
      <c r="N747" s="12"/>
      <c r="O747" s="12"/>
      <c r="P747" s="12"/>
      <c r="Q747" s="18"/>
    </row>
    <row r="748" customFormat="false" ht="15" hidden="false" customHeight="fals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2"/>
      <c r="M748" s="18"/>
      <c r="N748" s="12"/>
      <c r="O748" s="12"/>
      <c r="P748" s="12"/>
      <c r="Q748" s="18"/>
    </row>
    <row r="749" customFormat="false" ht="15" hidden="false" customHeight="fals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2"/>
      <c r="M749" s="18"/>
      <c r="N749" s="12"/>
      <c r="O749" s="12"/>
      <c r="P749" s="12"/>
      <c r="Q749" s="18"/>
    </row>
    <row r="750" customFormat="false" ht="15" hidden="false" customHeight="fals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2"/>
      <c r="M750" s="18"/>
      <c r="N750" s="12"/>
      <c r="O750" s="12"/>
      <c r="P750" s="12"/>
      <c r="Q750" s="18"/>
    </row>
    <row r="751" customFormat="false" ht="15" hidden="false" customHeight="fals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2"/>
      <c r="M751" s="18"/>
      <c r="N751" s="12"/>
      <c r="O751" s="12"/>
      <c r="P751" s="12"/>
      <c r="Q751" s="18"/>
    </row>
    <row r="752" customFormat="false" ht="15" hidden="false" customHeight="fals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2"/>
      <c r="M752" s="18"/>
      <c r="N752" s="12"/>
      <c r="O752" s="12"/>
      <c r="P752" s="12"/>
      <c r="Q752" s="18"/>
    </row>
    <row r="753" customFormat="false" ht="15" hidden="false" customHeight="fals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2"/>
      <c r="M753" s="18"/>
      <c r="N753" s="12"/>
      <c r="O753" s="12"/>
      <c r="P753" s="12"/>
      <c r="Q753" s="18"/>
    </row>
    <row r="754" customFormat="false" ht="15" hidden="false" customHeight="fals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2"/>
      <c r="M754" s="18"/>
      <c r="N754" s="12"/>
      <c r="O754" s="12"/>
      <c r="P754" s="12"/>
      <c r="Q754" s="18"/>
    </row>
    <row r="755" customFormat="false" ht="15" hidden="false" customHeight="fals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2"/>
      <c r="M755" s="18"/>
      <c r="N755" s="12"/>
      <c r="O755" s="12"/>
      <c r="P755" s="12"/>
      <c r="Q755" s="18"/>
    </row>
    <row r="756" customFormat="false" ht="15" hidden="false" customHeight="fals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2"/>
      <c r="M756" s="18"/>
      <c r="N756" s="12"/>
      <c r="O756" s="12"/>
      <c r="P756" s="12"/>
      <c r="Q756" s="18"/>
    </row>
    <row r="757" customFormat="false" ht="15" hidden="false" customHeight="fals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2"/>
      <c r="M757" s="18"/>
      <c r="N757" s="12"/>
      <c r="O757" s="12"/>
      <c r="P757" s="12"/>
      <c r="Q757" s="18"/>
    </row>
    <row r="758" customFormat="false" ht="15" hidden="false" customHeight="fals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2"/>
      <c r="M758" s="18"/>
      <c r="N758" s="12"/>
      <c r="O758" s="12"/>
      <c r="P758" s="12"/>
      <c r="Q758" s="18"/>
    </row>
    <row r="759" customFormat="false" ht="15" hidden="false" customHeight="fals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2"/>
      <c r="M759" s="18"/>
      <c r="N759" s="12"/>
      <c r="O759" s="12"/>
      <c r="P759" s="12"/>
      <c r="Q759" s="18"/>
    </row>
    <row r="760" customFormat="false" ht="15" hidden="false" customHeight="fals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2"/>
      <c r="M760" s="18"/>
      <c r="N760" s="12"/>
      <c r="O760" s="12"/>
      <c r="P760" s="12"/>
      <c r="Q760" s="18"/>
    </row>
    <row r="761" customFormat="false" ht="15" hidden="false" customHeight="fals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2"/>
      <c r="M761" s="18"/>
      <c r="N761" s="12"/>
      <c r="O761" s="12"/>
      <c r="P761" s="12"/>
      <c r="Q761" s="18"/>
    </row>
    <row r="762" customFormat="false" ht="15" hidden="false" customHeight="fals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2"/>
      <c r="M762" s="18"/>
      <c r="N762" s="12"/>
      <c r="O762" s="12"/>
      <c r="P762" s="12"/>
      <c r="Q762" s="18"/>
    </row>
    <row r="763" customFormat="false" ht="15" hidden="false" customHeight="fals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2"/>
      <c r="M763" s="18"/>
      <c r="N763" s="12"/>
      <c r="O763" s="12"/>
      <c r="P763" s="12"/>
      <c r="Q763" s="18"/>
    </row>
    <row r="764" customFormat="false" ht="15" hidden="false" customHeight="fals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2"/>
      <c r="M764" s="18"/>
      <c r="N764" s="12"/>
      <c r="O764" s="12"/>
      <c r="P764" s="12"/>
      <c r="Q764" s="18"/>
    </row>
    <row r="765" customFormat="false" ht="15" hidden="false" customHeight="fals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2"/>
      <c r="M765" s="18"/>
      <c r="N765" s="12"/>
      <c r="O765" s="12"/>
      <c r="P765" s="12"/>
      <c r="Q765" s="18"/>
    </row>
    <row r="766" customFormat="false" ht="15" hidden="false" customHeight="fals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2"/>
      <c r="M766" s="18"/>
      <c r="N766" s="12"/>
      <c r="O766" s="12"/>
      <c r="P766" s="12"/>
      <c r="Q766" s="18"/>
    </row>
    <row r="767" customFormat="false" ht="15" hidden="false" customHeight="fals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2"/>
      <c r="M767" s="18"/>
      <c r="N767" s="12"/>
      <c r="O767" s="12"/>
      <c r="P767" s="12"/>
      <c r="Q767" s="18"/>
    </row>
    <row r="768" customFormat="false" ht="15" hidden="false" customHeight="fals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2"/>
      <c r="M768" s="18"/>
      <c r="N768" s="12"/>
      <c r="O768" s="12"/>
      <c r="P768" s="12"/>
      <c r="Q768" s="18"/>
    </row>
    <row r="769" customFormat="false" ht="15" hidden="false" customHeight="fals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2"/>
      <c r="M769" s="18"/>
      <c r="N769" s="12"/>
      <c r="O769" s="12"/>
      <c r="P769" s="12"/>
      <c r="Q769" s="18"/>
    </row>
    <row r="770" customFormat="false" ht="15" hidden="false" customHeight="fals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2"/>
      <c r="M770" s="18"/>
      <c r="N770" s="12"/>
      <c r="O770" s="12"/>
      <c r="P770" s="12"/>
      <c r="Q770" s="18"/>
    </row>
    <row r="771" customFormat="false" ht="15" hidden="false" customHeight="fals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2"/>
      <c r="M771" s="18"/>
      <c r="N771" s="12"/>
      <c r="O771" s="12"/>
      <c r="P771" s="12"/>
      <c r="Q771" s="18"/>
    </row>
    <row r="772" customFormat="false" ht="15" hidden="false" customHeight="fals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2"/>
      <c r="M772" s="18"/>
      <c r="N772" s="12"/>
      <c r="O772" s="12"/>
      <c r="P772" s="12"/>
      <c r="Q772" s="18"/>
    </row>
    <row r="773" customFormat="false" ht="15" hidden="false" customHeight="fals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2"/>
      <c r="M773" s="18"/>
      <c r="N773" s="12"/>
      <c r="O773" s="12"/>
      <c r="P773" s="12"/>
      <c r="Q773" s="18"/>
    </row>
    <row r="774" customFormat="false" ht="15" hidden="false" customHeight="fals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2"/>
      <c r="M774" s="18"/>
      <c r="N774" s="12"/>
      <c r="O774" s="12"/>
      <c r="P774" s="12"/>
      <c r="Q774" s="18"/>
    </row>
    <row r="775" customFormat="false" ht="15" hidden="false" customHeight="fals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2"/>
      <c r="M775" s="18"/>
      <c r="N775" s="12"/>
      <c r="O775" s="12"/>
      <c r="P775" s="12"/>
      <c r="Q775" s="18"/>
    </row>
    <row r="776" customFormat="false" ht="15" hidden="false" customHeight="fals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2"/>
      <c r="M776" s="18"/>
      <c r="N776" s="12"/>
      <c r="O776" s="12"/>
      <c r="P776" s="12"/>
      <c r="Q776" s="18"/>
    </row>
    <row r="777" customFormat="false" ht="15" hidden="false" customHeight="fals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2"/>
      <c r="M777" s="18"/>
      <c r="N777" s="12"/>
      <c r="O777" s="12"/>
      <c r="P777" s="12"/>
      <c r="Q777" s="18"/>
    </row>
    <row r="778" customFormat="false" ht="15" hidden="false" customHeight="fals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2"/>
      <c r="M778" s="18"/>
      <c r="N778" s="12"/>
      <c r="O778" s="12"/>
      <c r="P778" s="12"/>
      <c r="Q778" s="18"/>
    </row>
    <row r="779" customFormat="false" ht="15" hidden="false" customHeight="fals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2"/>
      <c r="M779" s="18"/>
      <c r="N779" s="12"/>
      <c r="O779" s="12"/>
      <c r="P779" s="12"/>
      <c r="Q779" s="18"/>
    </row>
    <row r="780" customFormat="false" ht="15" hidden="false" customHeight="fals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2"/>
      <c r="M780" s="18"/>
      <c r="N780" s="12"/>
      <c r="O780" s="12"/>
      <c r="P780" s="12"/>
      <c r="Q780" s="18"/>
    </row>
    <row r="781" customFormat="false" ht="15" hidden="false" customHeight="fals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2"/>
      <c r="M781" s="18"/>
      <c r="N781" s="12"/>
      <c r="O781" s="12"/>
      <c r="P781" s="12"/>
      <c r="Q781" s="18"/>
    </row>
    <row r="782" customFormat="false" ht="15" hidden="false" customHeight="fals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2"/>
      <c r="M782" s="18"/>
      <c r="N782" s="12"/>
      <c r="O782" s="12"/>
      <c r="P782" s="12"/>
      <c r="Q782" s="18"/>
    </row>
    <row r="783" customFormat="false" ht="15" hidden="false" customHeight="fals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2"/>
      <c r="M783" s="18"/>
      <c r="N783" s="12"/>
      <c r="O783" s="12"/>
      <c r="P783" s="12"/>
      <c r="Q783" s="18"/>
    </row>
    <row r="784" customFormat="false" ht="15" hidden="false" customHeight="fals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2"/>
      <c r="M784" s="18"/>
      <c r="N784" s="12"/>
      <c r="O784" s="12"/>
      <c r="P784" s="12"/>
      <c r="Q784" s="18"/>
    </row>
    <row r="785" customFormat="false" ht="15" hidden="false" customHeight="fals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2"/>
      <c r="M785" s="18"/>
      <c r="N785" s="12"/>
      <c r="O785" s="12"/>
      <c r="P785" s="12"/>
      <c r="Q785" s="18"/>
    </row>
    <row r="786" customFormat="false" ht="15" hidden="false" customHeight="fals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2"/>
      <c r="M786" s="18"/>
      <c r="N786" s="12"/>
      <c r="O786" s="12"/>
      <c r="P786" s="12"/>
      <c r="Q786" s="18"/>
    </row>
    <row r="787" customFormat="false" ht="15" hidden="false" customHeight="fals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2"/>
      <c r="M787" s="18"/>
      <c r="N787" s="12"/>
      <c r="O787" s="12"/>
      <c r="P787" s="12"/>
      <c r="Q787" s="18"/>
    </row>
    <row r="788" customFormat="false" ht="15" hidden="false" customHeight="fals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2"/>
      <c r="M788" s="18"/>
      <c r="N788" s="12"/>
      <c r="O788" s="12"/>
      <c r="P788" s="12"/>
      <c r="Q788" s="18"/>
    </row>
    <row r="789" customFormat="false" ht="15" hidden="false" customHeight="fals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2"/>
      <c r="M789" s="18"/>
      <c r="N789" s="12"/>
      <c r="O789" s="12"/>
      <c r="P789" s="12"/>
      <c r="Q789" s="18"/>
    </row>
    <row r="790" customFormat="false" ht="15" hidden="false" customHeight="fals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2"/>
      <c r="M790" s="18"/>
      <c r="N790" s="12"/>
      <c r="O790" s="12"/>
      <c r="P790" s="12"/>
      <c r="Q790" s="18"/>
    </row>
    <row r="791" customFormat="false" ht="15" hidden="false" customHeight="fals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2"/>
      <c r="M791" s="18"/>
      <c r="N791" s="12"/>
      <c r="O791" s="12"/>
      <c r="P791" s="12"/>
      <c r="Q791" s="18"/>
    </row>
    <row r="792" customFormat="false" ht="15" hidden="false" customHeight="fals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2"/>
      <c r="M792" s="18"/>
      <c r="N792" s="12"/>
      <c r="O792" s="12"/>
      <c r="P792" s="12"/>
      <c r="Q792" s="18"/>
    </row>
    <row r="793" customFormat="false" ht="15" hidden="false" customHeight="fals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2"/>
      <c r="M793" s="18"/>
      <c r="N793" s="12"/>
      <c r="O793" s="12"/>
      <c r="P793" s="12"/>
      <c r="Q793" s="18"/>
    </row>
    <row r="794" customFormat="false" ht="15" hidden="false" customHeight="fals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2"/>
      <c r="M794" s="18"/>
      <c r="N794" s="12"/>
      <c r="O794" s="12"/>
      <c r="P794" s="12"/>
      <c r="Q794" s="18"/>
    </row>
    <row r="795" customFormat="false" ht="15" hidden="false" customHeight="fals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2"/>
      <c r="M795" s="18"/>
      <c r="N795" s="12"/>
      <c r="O795" s="12"/>
      <c r="P795" s="12"/>
      <c r="Q795" s="18"/>
    </row>
    <row r="796" customFormat="false" ht="15" hidden="false" customHeight="fals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2"/>
      <c r="M796" s="18"/>
      <c r="N796" s="12"/>
      <c r="O796" s="12"/>
      <c r="P796" s="12"/>
      <c r="Q796" s="18"/>
    </row>
    <row r="797" customFormat="false" ht="15" hidden="false" customHeight="fals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2"/>
      <c r="M797" s="18"/>
      <c r="N797" s="12"/>
      <c r="O797" s="12"/>
      <c r="P797" s="12"/>
      <c r="Q797" s="18"/>
    </row>
    <row r="798" customFormat="false" ht="15" hidden="false" customHeight="fals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2"/>
      <c r="M798" s="18"/>
      <c r="N798" s="12"/>
      <c r="O798" s="12"/>
      <c r="P798" s="12"/>
      <c r="Q798" s="18"/>
    </row>
    <row r="799" customFormat="false" ht="15" hidden="false" customHeight="fals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2"/>
      <c r="M799" s="18"/>
      <c r="N799" s="12"/>
      <c r="O799" s="12"/>
      <c r="P799" s="12"/>
      <c r="Q799" s="18"/>
    </row>
    <row r="800" customFormat="false" ht="15" hidden="false" customHeight="fals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2"/>
      <c r="M800" s="18"/>
      <c r="N800" s="12"/>
      <c r="O800" s="12"/>
      <c r="P800" s="12"/>
      <c r="Q800" s="18"/>
    </row>
    <row r="801" customFormat="false" ht="15" hidden="false" customHeight="fals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2"/>
      <c r="M801" s="18"/>
      <c r="N801" s="12"/>
      <c r="O801" s="12"/>
      <c r="P801" s="12"/>
      <c r="Q801" s="18"/>
    </row>
    <row r="802" customFormat="false" ht="15" hidden="false" customHeight="fals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2"/>
      <c r="M802" s="18"/>
      <c r="N802" s="12"/>
      <c r="O802" s="12"/>
      <c r="P802" s="12"/>
      <c r="Q802" s="18"/>
    </row>
    <row r="803" customFormat="false" ht="15" hidden="false" customHeight="fals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2"/>
      <c r="M803" s="18"/>
      <c r="N803" s="12"/>
      <c r="O803" s="12"/>
      <c r="P803" s="12"/>
      <c r="Q803" s="18"/>
    </row>
    <row r="804" customFormat="false" ht="15" hidden="false" customHeight="fals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2"/>
      <c r="M804" s="18"/>
      <c r="N804" s="12"/>
      <c r="O804" s="12"/>
      <c r="P804" s="12"/>
      <c r="Q804" s="18"/>
    </row>
    <row r="805" customFormat="false" ht="15" hidden="false" customHeight="fals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2"/>
      <c r="M805" s="18"/>
      <c r="N805" s="12"/>
      <c r="O805" s="12"/>
      <c r="P805" s="12"/>
      <c r="Q805" s="18"/>
    </row>
    <row r="806" customFormat="false" ht="15" hidden="false" customHeight="fals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2"/>
      <c r="M806" s="18"/>
      <c r="N806" s="12"/>
      <c r="O806" s="12"/>
      <c r="P806" s="12"/>
      <c r="Q806" s="18"/>
    </row>
    <row r="807" customFormat="false" ht="15" hidden="false" customHeight="fals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2"/>
      <c r="M807" s="18"/>
      <c r="N807" s="12"/>
      <c r="O807" s="12"/>
      <c r="P807" s="12"/>
      <c r="Q807" s="18"/>
    </row>
    <row r="808" customFormat="false" ht="15" hidden="false" customHeight="fals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2"/>
      <c r="M808" s="18"/>
      <c r="N808" s="12"/>
      <c r="O808" s="12"/>
      <c r="P808" s="12"/>
      <c r="Q808" s="18"/>
    </row>
    <row r="809" customFormat="false" ht="15" hidden="false" customHeight="fals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2"/>
      <c r="M809" s="18"/>
      <c r="N809" s="12"/>
      <c r="O809" s="12"/>
      <c r="P809" s="12"/>
      <c r="Q809" s="18"/>
    </row>
    <row r="810" customFormat="false" ht="15" hidden="false" customHeight="fals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2"/>
      <c r="M810" s="18"/>
      <c r="N810" s="12"/>
      <c r="O810" s="12"/>
      <c r="P810" s="12"/>
      <c r="Q810" s="18"/>
    </row>
    <row r="811" customFormat="false" ht="15" hidden="false" customHeight="fals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2"/>
      <c r="M811" s="18"/>
      <c r="N811" s="12"/>
      <c r="O811" s="12"/>
      <c r="P811" s="12"/>
      <c r="Q811" s="18"/>
    </row>
    <row r="812" customFormat="false" ht="15" hidden="false" customHeight="fals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2"/>
      <c r="M812" s="18"/>
      <c r="N812" s="12"/>
      <c r="O812" s="12"/>
      <c r="P812" s="12"/>
      <c r="Q812" s="18"/>
    </row>
    <row r="813" customFormat="false" ht="15" hidden="false" customHeight="fals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2"/>
      <c r="M813" s="18"/>
      <c r="N813" s="12"/>
      <c r="O813" s="12"/>
      <c r="P813" s="12"/>
      <c r="Q813" s="18"/>
    </row>
    <row r="814" customFormat="false" ht="15" hidden="false" customHeight="fals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2"/>
      <c r="M814" s="18"/>
      <c r="N814" s="12"/>
      <c r="O814" s="12"/>
      <c r="P814" s="12"/>
      <c r="Q814" s="18"/>
    </row>
    <row r="815" customFormat="false" ht="15" hidden="false" customHeight="fals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2"/>
      <c r="M815" s="18"/>
      <c r="N815" s="12"/>
      <c r="O815" s="12"/>
      <c r="P815" s="12"/>
      <c r="Q815" s="18"/>
    </row>
    <row r="816" customFormat="false" ht="15" hidden="false" customHeight="fals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2"/>
      <c r="M816" s="18"/>
      <c r="N816" s="12"/>
      <c r="O816" s="12"/>
      <c r="P816" s="12"/>
      <c r="Q816" s="18"/>
    </row>
    <row r="817" customFormat="false" ht="15" hidden="false" customHeight="fals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2"/>
      <c r="M817" s="18"/>
      <c r="N817" s="12"/>
      <c r="O817" s="12"/>
      <c r="P817" s="12"/>
      <c r="Q817" s="18"/>
    </row>
    <row r="818" customFormat="false" ht="15" hidden="false" customHeight="fals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2"/>
      <c r="M818" s="18"/>
      <c r="N818" s="12"/>
      <c r="O818" s="12"/>
      <c r="P818" s="12"/>
      <c r="Q818" s="18"/>
    </row>
    <row r="819" customFormat="false" ht="15" hidden="false" customHeight="fals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2"/>
      <c r="M819" s="18"/>
      <c r="N819" s="12"/>
      <c r="O819" s="12"/>
      <c r="P819" s="12"/>
      <c r="Q819" s="18"/>
    </row>
    <row r="820" customFormat="false" ht="15" hidden="false" customHeight="fals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2"/>
      <c r="M820" s="18"/>
      <c r="N820" s="12"/>
      <c r="O820" s="12"/>
      <c r="P820" s="12"/>
      <c r="Q820" s="18"/>
    </row>
    <row r="821" customFormat="false" ht="15" hidden="false" customHeight="fals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2"/>
      <c r="M821" s="18"/>
      <c r="N821" s="12"/>
      <c r="O821" s="12"/>
      <c r="P821" s="12"/>
      <c r="Q821" s="18"/>
    </row>
    <row r="822" customFormat="false" ht="15" hidden="false" customHeight="fals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2"/>
      <c r="M822" s="18"/>
      <c r="N822" s="12"/>
      <c r="O822" s="12"/>
      <c r="P822" s="12"/>
      <c r="Q822" s="18"/>
    </row>
    <row r="823" customFormat="false" ht="15" hidden="false" customHeight="fals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2"/>
      <c r="M823" s="18"/>
      <c r="N823" s="12"/>
      <c r="O823" s="12"/>
      <c r="P823" s="12"/>
      <c r="Q823" s="18"/>
    </row>
    <row r="824" customFormat="false" ht="15" hidden="false" customHeight="fals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2"/>
      <c r="M824" s="18"/>
      <c r="N824" s="12"/>
      <c r="O824" s="12"/>
      <c r="P824" s="12"/>
      <c r="Q824" s="18"/>
    </row>
    <row r="825" customFormat="false" ht="15" hidden="false" customHeight="fals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2"/>
      <c r="M825" s="18"/>
      <c r="N825" s="12"/>
      <c r="O825" s="12"/>
      <c r="P825" s="12"/>
      <c r="Q825" s="18"/>
    </row>
    <row r="826" customFormat="false" ht="15" hidden="false" customHeight="fals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2"/>
      <c r="M826" s="18"/>
      <c r="N826" s="12"/>
      <c r="O826" s="12"/>
      <c r="P826" s="12"/>
      <c r="Q826" s="18"/>
    </row>
    <row r="827" customFormat="false" ht="15" hidden="false" customHeight="fals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2"/>
      <c r="M827" s="18"/>
      <c r="N827" s="12"/>
      <c r="O827" s="12"/>
      <c r="P827" s="12"/>
      <c r="Q827" s="18"/>
    </row>
    <row r="828" customFormat="false" ht="15" hidden="false" customHeight="fals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2"/>
      <c r="M828" s="18"/>
      <c r="N828" s="12"/>
      <c r="O828" s="12"/>
      <c r="P828" s="12"/>
      <c r="Q828" s="18"/>
    </row>
    <row r="829" customFormat="false" ht="15" hidden="false" customHeight="fals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2"/>
      <c r="M829" s="18"/>
      <c r="N829" s="12"/>
      <c r="O829" s="12"/>
      <c r="P829" s="12"/>
      <c r="Q829" s="18"/>
    </row>
    <row r="830" customFormat="false" ht="15" hidden="false" customHeight="fals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2"/>
      <c r="M830" s="18"/>
      <c r="N830" s="12"/>
      <c r="O830" s="12"/>
      <c r="P830" s="12"/>
      <c r="Q830" s="18"/>
    </row>
    <row r="831" customFormat="false" ht="15" hidden="false" customHeight="fals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2"/>
      <c r="M831" s="18"/>
      <c r="N831" s="12"/>
      <c r="O831" s="12"/>
      <c r="P831" s="12"/>
      <c r="Q831" s="18"/>
    </row>
    <row r="832" customFormat="false" ht="15" hidden="false" customHeight="fals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2"/>
      <c r="M832" s="18"/>
      <c r="N832" s="12"/>
      <c r="O832" s="12"/>
      <c r="P832" s="12"/>
      <c r="Q832" s="18"/>
    </row>
    <row r="833" customFormat="false" ht="15" hidden="false" customHeight="fals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2"/>
      <c r="M833" s="18"/>
      <c r="N833" s="12"/>
      <c r="O833" s="12"/>
      <c r="P833" s="12"/>
      <c r="Q833" s="18"/>
    </row>
    <row r="834" customFormat="false" ht="15" hidden="false" customHeight="fals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2"/>
      <c r="M834" s="18"/>
      <c r="N834" s="12"/>
      <c r="O834" s="12"/>
      <c r="P834" s="12"/>
      <c r="Q834" s="18"/>
    </row>
    <row r="835" customFormat="false" ht="15" hidden="false" customHeight="fals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2"/>
      <c r="M835" s="18"/>
      <c r="N835" s="12"/>
      <c r="O835" s="12"/>
      <c r="P835" s="12"/>
      <c r="Q835" s="18"/>
    </row>
    <row r="836" customFormat="false" ht="15" hidden="false" customHeight="fals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2"/>
      <c r="M836" s="18"/>
      <c r="N836" s="12"/>
      <c r="O836" s="12"/>
      <c r="P836" s="12"/>
      <c r="Q836" s="18"/>
    </row>
    <row r="837" customFormat="false" ht="15" hidden="false" customHeight="fals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2"/>
      <c r="M837" s="18"/>
      <c r="N837" s="12"/>
      <c r="O837" s="12"/>
      <c r="P837" s="12"/>
      <c r="Q837" s="18"/>
    </row>
    <row r="838" customFormat="false" ht="15" hidden="false" customHeight="fals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2"/>
      <c r="M838" s="18"/>
      <c r="N838" s="12"/>
      <c r="O838" s="12"/>
      <c r="P838" s="12"/>
      <c r="Q838" s="18"/>
    </row>
    <row r="839" customFormat="false" ht="15" hidden="false" customHeight="fals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2"/>
      <c r="M839" s="18"/>
      <c r="N839" s="12"/>
      <c r="O839" s="12"/>
      <c r="P839" s="12"/>
      <c r="Q839" s="18"/>
    </row>
    <row r="840" customFormat="false" ht="15" hidden="false" customHeight="fals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2"/>
      <c r="M840" s="18"/>
      <c r="N840" s="12"/>
      <c r="O840" s="12"/>
      <c r="P840" s="12"/>
      <c r="Q840" s="18"/>
    </row>
    <row r="841" customFormat="false" ht="15" hidden="false" customHeight="fals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2"/>
      <c r="M841" s="18"/>
      <c r="N841" s="12"/>
      <c r="O841" s="12"/>
      <c r="P841" s="12"/>
      <c r="Q841" s="18"/>
    </row>
    <row r="842" customFormat="false" ht="15" hidden="false" customHeight="fals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2"/>
      <c r="M842" s="18"/>
      <c r="N842" s="12"/>
      <c r="O842" s="12"/>
      <c r="P842" s="12"/>
      <c r="Q842" s="18"/>
    </row>
    <row r="843" customFormat="false" ht="15" hidden="false" customHeight="fals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2"/>
      <c r="M843" s="18"/>
      <c r="N843" s="12"/>
      <c r="O843" s="12"/>
      <c r="P843" s="12"/>
      <c r="Q843" s="18"/>
    </row>
    <row r="844" customFormat="false" ht="15" hidden="false" customHeight="fals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2"/>
      <c r="M844" s="18"/>
      <c r="N844" s="12"/>
      <c r="O844" s="12"/>
      <c r="P844" s="12"/>
      <c r="Q844" s="18"/>
    </row>
    <row r="845" customFormat="false" ht="15" hidden="false" customHeight="fals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2"/>
      <c r="M845" s="18"/>
      <c r="N845" s="12"/>
      <c r="O845" s="12"/>
      <c r="P845" s="12"/>
      <c r="Q845" s="18"/>
    </row>
    <row r="846" customFormat="false" ht="15" hidden="false" customHeight="fals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2"/>
      <c r="M846" s="18"/>
      <c r="N846" s="12"/>
      <c r="O846" s="12"/>
      <c r="P846" s="12"/>
      <c r="Q846" s="18"/>
    </row>
    <row r="847" customFormat="false" ht="15" hidden="false" customHeight="fals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2"/>
      <c r="M847" s="18"/>
      <c r="N847" s="12"/>
      <c r="O847" s="12"/>
      <c r="P847" s="12"/>
      <c r="Q847" s="18"/>
    </row>
    <row r="848" customFormat="false" ht="15" hidden="false" customHeight="fals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2"/>
      <c r="M848" s="18"/>
      <c r="N848" s="12"/>
      <c r="O848" s="12"/>
      <c r="P848" s="12"/>
      <c r="Q848" s="18"/>
    </row>
    <row r="849" customFormat="false" ht="15" hidden="false" customHeight="fals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2"/>
      <c r="M849" s="18"/>
      <c r="N849" s="12"/>
      <c r="O849" s="12"/>
      <c r="P849" s="12"/>
      <c r="Q849" s="18"/>
    </row>
    <row r="850" customFormat="false" ht="15" hidden="false" customHeight="fals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2"/>
      <c r="M850" s="18"/>
      <c r="N850" s="12"/>
      <c r="O850" s="12"/>
      <c r="P850" s="12"/>
      <c r="Q850" s="18"/>
    </row>
    <row r="851" customFormat="false" ht="15" hidden="false" customHeight="fals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2"/>
      <c r="M851" s="18"/>
      <c r="N851" s="12"/>
      <c r="O851" s="12"/>
      <c r="P851" s="12"/>
      <c r="Q851" s="18"/>
    </row>
    <row r="852" customFormat="false" ht="15" hidden="false" customHeight="fals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2"/>
      <c r="M852" s="18"/>
      <c r="N852" s="12"/>
      <c r="O852" s="12"/>
      <c r="P852" s="12"/>
      <c r="Q852" s="18"/>
    </row>
    <row r="853" customFormat="false" ht="15" hidden="false" customHeight="fals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2"/>
      <c r="M853" s="18"/>
      <c r="N853" s="12"/>
      <c r="O853" s="12"/>
      <c r="P853" s="12"/>
      <c r="Q853" s="18"/>
    </row>
    <row r="854" customFormat="false" ht="15" hidden="false" customHeight="fals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2"/>
      <c r="M854" s="18"/>
      <c r="N854" s="12"/>
      <c r="O854" s="12"/>
      <c r="P854" s="12"/>
      <c r="Q854" s="18"/>
    </row>
    <row r="855" customFormat="false" ht="15" hidden="false" customHeight="fals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2"/>
      <c r="M855" s="18"/>
      <c r="N855" s="12"/>
      <c r="O855" s="12"/>
      <c r="P855" s="12"/>
      <c r="Q855" s="18"/>
    </row>
    <row r="856" customFormat="false" ht="15" hidden="false" customHeight="fals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2"/>
      <c r="M856" s="18"/>
      <c r="N856" s="12"/>
      <c r="O856" s="12"/>
      <c r="P856" s="12"/>
      <c r="Q856" s="18"/>
    </row>
    <row r="857" customFormat="false" ht="15" hidden="false" customHeight="fals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2"/>
      <c r="M857" s="18"/>
      <c r="N857" s="12"/>
      <c r="O857" s="12"/>
      <c r="P857" s="12"/>
      <c r="Q857" s="18"/>
    </row>
    <row r="858" customFormat="false" ht="15" hidden="false" customHeight="fals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2"/>
      <c r="M858" s="18"/>
      <c r="N858" s="12"/>
      <c r="O858" s="12"/>
      <c r="P858" s="12"/>
      <c r="Q858" s="18"/>
    </row>
    <row r="859" customFormat="false" ht="15" hidden="false" customHeight="fals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2"/>
      <c r="M859" s="18"/>
      <c r="N859" s="12"/>
      <c r="O859" s="12"/>
      <c r="P859" s="12"/>
      <c r="Q859" s="18"/>
    </row>
    <row r="860" customFormat="false" ht="15" hidden="false" customHeight="fals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2"/>
      <c r="M860" s="18"/>
      <c r="N860" s="12"/>
      <c r="O860" s="12"/>
      <c r="P860" s="12"/>
      <c r="Q860" s="18"/>
    </row>
    <row r="861" customFormat="false" ht="15" hidden="false" customHeight="fals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2"/>
      <c r="M861" s="18"/>
      <c r="N861" s="12"/>
      <c r="O861" s="12"/>
      <c r="P861" s="12"/>
      <c r="Q861" s="18"/>
    </row>
    <row r="862" customFormat="false" ht="15" hidden="false" customHeight="fals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2"/>
      <c r="M862" s="18"/>
      <c r="N862" s="12"/>
      <c r="O862" s="12"/>
      <c r="P862" s="12"/>
      <c r="Q862" s="18"/>
    </row>
    <row r="863" customFormat="false" ht="15" hidden="false" customHeight="fals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2"/>
      <c r="M863" s="18"/>
      <c r="N863" s="12"/>
      <c r="O863" s="12"/>
      <c r="P863" s="12"/>
      <c r="Q863" s="18"/>
    </row>
    <row r="864" customFormat="false" ht="15" hidden="false" customHeight="fals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2"/>
      <c r="M864" s="18"/>
      <c r="N864" s="12"/>
      <c r="O864" s="12"/>
      <c r="P864" s="12"/>
      <c r="Q864" s="18"/>
    </row>
    <row r="865" customFormat="false" ht="15" hidden="false" customHeight="fals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2"/>
      <c r="M865" s="18"/>
      <c r="N865" s="12"/>
      <c r="O865" s="12"/>
      <c r="P865" s="12"/>
      <c r="Q865" s="18"/>
    </row>
    <row r="866" customFormat="false" ht="15" hidden="false" customHeight="fals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2"/>
      <c r="M866" s="18"/>
      <c r="N866" s="12"/>
      <c r="O866" s="12"/>
      <c r="P866" s="12"/>
      <c r="Q866" s="18"/>
    </row>
    <row r="867" customFormat="false" ht="15" hidden="false" customHeight="fals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2"/>
      <c r="M867" s="18"/>
      <c r="N867" s="12"/>
      <c r="O867" s="12"/>
      <c r="P867" s="12"/>
      <c r="Q867" s="18"/>
    </row>
    <row r="868" customFormat="false" ht="15" hidden="false" customHeight="fals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2"/>
      <c r="M868" s="18"/>
      <c r="N868" s="12"/>
      <c r="O868" s="12"/>
      <c r="P868" s="12"/>
      <c r="Q868" s="18"/>
    </row>
    <row r="869" customFormat="false" ht="15" hidden="false" customHeight="fals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2"/>
      <c r="M869" s="18"/>
      <c r="N869" s="12"/>
      <c r="O869" s="12"/>
      <c r="P869" s="12"/>
      <c r="Q869" s="18"/>
    </row>
    <row r="870" customFormat="false" ht="15" hidden="false" customHeight="fals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2"/>
      <c r="M870" s="18"/>
      <c r="N870" s="12"/>
      <c r="O870" s="12"/>
      <c r="P870" s="12"/>
      <c r="Q870" s="18"/>
    </row>
    <row r="871" customFormat="false" ht="15" hidden="false" customHeight="fals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2"/>
      <c r="M871" s="18"/>
      <c r="N871" s="12"/>
      <c r="O871" s="12"/>
      <c r="P871" s="12"/>
      <c r="Q871" s="18"/>
    </row>
    <row r="872" customFormat="false" ht="15" hidden="false" customHeight="fals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2"/>
      <c r="M872" s="18"/>
      <c r="N872" s="12"/>
      <c r="O872" s="12"/>
      <c r="P872" s="12"/>
      <c r="Q872" s="18"/>
    </row>
    <row r="873" customFormat="false" ht="15" hidden="false" customHeight="fals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2"/>
      <c r="M873" s="18"/>
      <c r="N873" s="12"/>
      <c r="O873" s="12"/>
      <c r="P873" s="12"/>
      <c r="Q873" s="18"/>
    </row>
    <row r="874" customFormat="false" ht="15" hidden="false" customHeight="fals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2"/>
      <c r="M874" s="18"/>
      <c r="N874" s="12"/>
      <c r="O874" s="12"/>
      <c r="P874" s="12"/>
      <c r="Q874" s="18"/>
    </row>
    <row r="875" customFormat="false" ht="15" hidden="false" customHeight="fals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2"/>
      <c r="M875" s="18"/>
      <c r="N875" s="12"/>
      <c r="O875" s="12"/>
      <c r="P875" s="12"/>
      <c r="Q875" s="18"/>
    </row>
    <row r="876" customFormat="false" ht="15" hidden="false" customHeight="fals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2"/>
      <c r="M876" s="18"/>
      <c r="N876" s="12"/>
      <c r="O876" s="12"/>
      <c r="P876" s="12"/>
      <c r="Q876" s="18"/>
    </row>
    <row r="877" customFormat="false" ht="15" hidden="false" customHeight="fals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2"/>
      <c r="M877" s="18"/>
      <c r="N877" s="12"/>
      <c r="O877" s="12"/>
      <c r="P877" s="12"/>
      <c r="Q877" s="18"/>
    </row>
    <row r="878" customFormat="false" ht="15" hidden="false" customHeight="fals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2"/>
      <c r="M878" s="18"/>
      <c r="N878" s="12"/>
      <c r="O878" s="12"/>
      <c r="P878" s="12"/>
      <c r="Q878" s="18"/>
    </row>
    <row r="879" customFormat="false" ht="15" hidden="false" customHeight="fals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2"/>
      <c r="M879" s="18"/>
      <c r="N879" s="12"/>
      <c r="O879" s="12"/>
      <c r="P879" s="12"/>
      <c r="Q879" s="18"/>
    </row>
    <row r="880" customFormat="false" ht="15" hidden="false" customHeight="fals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2"/>
      <c r="M880" s="18"/>
      <c r="N880" s="12"/>
      <c r="O880" s="12"/>
      <c r="P880" s="12"/>
      <c r="Q880" s="18"/>
    </row>
    <row r="881" customFormat="false" ht="15" hidden="false" customHeight="fals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2"/>
      <c r="M881" s="18"/>
      <c r="N881" s="12"/>
      <c r="O881" s="12"/>
      <c r="P881" s="12"/>
      <c r="Q881" s="18"/>
    </row>
    <row r="882" customFormat="false" ht="15" hidden="false" customHeight="fals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2"/>
      <c r="M882" s="18"/>
      <c r="N882" s="12"/>
      <c r="O882" s="12"/>
      <c r="P882" s="12"/>
      <c r="Q882" s="18"/>
    </row>
    <row r="883" customFormat="false" ht="15" hidden="false" customHeight="fals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2"/>
      <c r="M883" s="18"/>
      <c r="N883" s="12"/>
      <c r="O883" s="12"/>
      <c r="P883" s="12"/>
      <c r="Q883" s="18"/>
    </row>
    <row r="884" customFormat="false" ht="15" hidden="false" customHeight="fals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2"/>
      <c r="M884" s="18"/>
      <c r="N884" s="12"/>
      <c r="O884" s="12"/>
      <c r="P884" s="12"/>
      <c r="Q884" s="18"/>
    </row>
    <row r="885" customFormat="false" ht="15" hidden="false" customHeight="fals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2"/>
      <c r="M885" s="18"/>
      <c r="N885" s="12"/>
      <c r="O885" s="12"/>
      <c r="P885" s="12"/>
      <c r="Q885" s="18"/>
    </row>
    <row r="886" customFormat="false" ht="15" hidden="false" customHeight="fals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2"/>
      <c r="M886" s="18"/>
      <c r="N886" s="12"/>
      <c r="O886" s="12"/>
      <c r="P886" s="12"/>
      <c r="Q886" s="18"/>
    </row>
    <row r="887" customFormat="false" ht="15" hidden="false" customHeight="fals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2"/>
      <c r="M887" s="18"/>
      <c r="N887" s="12"/>
      <c r="O887" s="12"/>
      <c r="P887" s="12"/>
      <c r="Q887" s="18"/>
    </row>
    <row r="888" customFormat="false" ht="15" hidden="false" customHeight="fals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2"/>
      <c r="M888" s="18"/>
      <c r="N888" s="12"/>
      <c r="O888" s="12"/>
      <c r="P888" s="12"/>
      <c r="Q888" s="18"/>
    </row>
    <row r="889" customFormat="false" ht="15" hidden="false" customHeight="fals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2"/>
      <c r="M889" s="18"/>
      <c r="N889" s="12"/>
      <c r="O889" s="12"/>
      <c r="P889" s="12"/>
      <c r="Q889" s="18"/>
    </row>
    <row r="890" customFormat="false" ht="15" hidden="false" customHeight="fals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2"/>
      <c r="M890" s="18"/>
      <c r="N890" s="12"/>
      <c r="O890" s="12"/>
      <c r="P890" s="12"/>
      <c r="Q890" s="18"/>
    </row>
    <row r="891" customFormat="false" ht="15" hidden="false" customHeight="fals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2"/>
      <c r="M891" s="18"/>
      <c r="N891" s="12"/>
      <c r="O891" s="12"/>
      <c r="P891" s="12"/>
      <c r="Q891" s="18"/>
    </row>
    <row r="892" customFormat="false" ht="15" hidden="false" customHeight="fals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2"/>
      <c r="M892" s="18"/>
      <c r="N892" s="12"/>
      <c r="O892" s="12"/>
      <c r="P892" s="12"/>
      <c r="Q892" s="18"/>
    </row>
    <row r="893" customFormat="false" ht="15" hidden="false" customHeight="fals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2"/>
      <c r="M893" s="18"/>
      <c r="N893" s="12"/>
      <c r="O893" s="12"/>
      <c r="P893" s="12"/>
      <c r="Q893" s="18"/>
    </row>
    <row r="894" customFormat="false" ht="15" hidden="false" customHeight="fals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2"/>
      <c r="M894" s="18"/>
      <c r="N894" s="12"/>
      <c r="O894" s="12"/>
      <c r="P894" s="12"/>
      <c r="Q894" s="18"/>
    </row>
    <row r="895" customFormat="false" ht="15" hidden="false" customHeight="fals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2"/>
      <c r="M895" s="18"/>
      <c r="N895" s="12"/>
      <c r="O895" s="12"/>
      <c r="P895" s="12"/>
      <c r="Q895" s="18"/>
    </row>
    <row r="896" customFormat="false" ht="15" hidden="false" customHeight="fals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2"/>
      <c r="M896" s="18"/>
      <c r="N896" s="12"/>
      <c r="O896" s="12"/>
      <c r="P896" s="12"/>
      <c r="Q896" s="18"/>
    </row>
    <row r="897" customFormat="false" ht="15" hidden="false" customHeight="fals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2"/>
      <c r="M897" s="18"/>
      <c r="N897" s="12"/>
      <c r="O897" s="12"/>
      <c r="P897" s="12"/>
      <c r="Q897" s="18"/>
    </row>
    <row r="898" customFormat="false" ht="15" hidden="false" customHeight="fals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2"/>
      <c r="M898" s="18"/>
      <c r="N898" s="12"/>
      <c r="O898" s="12"/>
      <c r="P898" s="12"/>
      <c r="Q898" s="18"/>
    </row>
    <row r="899" customFormat="false" ht="15" hidden="false" customHeight="fals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2"/>
      <c r="M899" s="18"/>
      <c r="N899" s="12"/>
      <c r="O899" s="12"/>
      <c r="P899" s="12"/>
      <c r="Q899" s="18"/>
    </row>
    <row r="900" customFormat="false" ht="15" hidden="false" customHeight="fals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2"/>
      <c r="M900" s="18"/>
      <c r="N900" s="12"/>
      <c r="O900" s="12"/>
      <c r="P900" s="12"/>
      <c r="Q900" s="18"/>
    </row>
    <row r="901" customFormat="false" ht="15" hidden="false" customHeight="fals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2"/>
      <c r="M901" s="18"/>
      <c r="N901" s="12"/>
      <c r="O901" s="12"/>
      <c r="P901" s="12"/>
      <c r="Q901" s="18"/>
    </row>
    <row r="902" customFormat="false" ht="15" hidden="false" customHeight="fals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2"/>
      <c r="M902" s="18"/>
      <c r="N902" s="12"/>
      <c r="O902" s="12"/>
      <c r="P902" s="12"/>
      <c r="Q902" s="18"/>
    </row>
    <row r="903" customFormat="false" ht="15" hidden="false" customHeight="fals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2"/>
      <c r="M903" s="18"/>
      <c r="N903" s="12"/>
      <c r="O903" s="12"/>
      <c r="P903" s="12"/>
      <c r="Q903" s="18"/>
    </row>
    <row r="904" customFormat="false" ht="15" hidden="false" customHeight="fals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2"/>
      <c r="M904" s="18"/>
      <c r="N904" s="12"/>
      <c r="O904" s="12"/>
      <c r="P904" s="12"/>
      <c r="Q904" s="18"/>
    </row>
    <row r="905" customFormat="false" ht="15" hidden="false" customHeight="fals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2"/>
      <c r="M905" s="18"/>
      <c r="N905" s="12"/>
      <c r="O905" s="12"/>
      <c r="P905" s="12"/>
      <c r="Q905" s="18"/>
    </row>
    <row r="906" customFormat="false" ht="15" hidden="false" customHeight="fals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2"/>
      <c r="M906" s="18"/>
      <c r="N906" s="12"/>
      <c r="O906" s="12"/>
      <c r="P906" s="12"/>
      <c r="Q906" s="18"/>
    </row>
    <row r="907" customFormat="false" ht="15" hidden="false" customHeight="fals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2"/>
      <c r="M907" s="18"/>
      <c r="N907" s="12"/>
      <c r="O907" s="12"/>
      <c r="P907" s="12"/>
      <c r="Q907" s="18"/>
    </row>
    <row r="908" customFormat="false" ht="15" hidden="false" customHeight="fals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2"/>
      <c r="M908" s="18"/>
      <c r="N908" s="12"/>
      <c r="O908" s="12"/>
      <c r="P908" s="12"/>
      <c r="Q908" s="18"/>
    </row>
    <row r="909" customFormat="false" ht="15" hidden="false" customHeight="fals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2"/>
      <c r="M909" s="18"/>
      <c r="N909" s="12"/>
      <c r="O909" s="12"/>
      <c r="P909" s="12"/>
      <c r="Q909" s="18"/>
    </row>
    <row r="910" customFormat="false" ht="15" hidden="false" customHeight="fals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2"/>
      <c r="M910" s="18"/>
      <c r="N910" s="12"/>
      <c r="O910" s="12"/>
      <c r="P910" s="12"/>
      <c r="Q910" s="18"/>
    </row>
    <row r="911" customFormat="false" ht="15" hidden="false" customHeight="fals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2"/>
      <c r="M911" s="18"/>
      <c r="N911" s="12"/>
      <c r="O911" s="12"/>
      <c r="P911" s="12"/>
      <c r="Q911" s="18"/>
    </row>
    <row r="912" customFormat="false" ht="15" hidden="false" customHeight="fals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2"/>
      <c r="M912" s="18"/>
      <c r="N912" s="12"/>
      <c r="O912" s="12"/>
      <c r="P912" s="12"/>
      <c r="Q912" s="18"/>
    </row>
    <row r="913" customFormat="false" ht="15" hidden="false" customHeight="fals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2"/>
      <c r="M913" s="18"/>
      <c r="N913" s="12"/>
      <c r="O913" s="12"/>
      <c r="P913" s="12"/>
      <c r="Q913" s="18"/>
    </row>
    <row r="914" customFormat="false" ht="15" hidden="false" customHeight="fals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2"/>
      <c r="M914" s="18"/>
      <c r="N914" s="12"/>
      <c r="O914" s="12"/>
      <c r="P914" s="12"/>
      <c r="Q914" s="18"/>
    </row>
    <row r="915" customFormat="false" ht="15" hidden="false" customHeight="fals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2"/>
      <c r="M915" s="18"/>
      <c r="N915" s="12"/>
      <c r="O915" s="12"/>
      <c r="P915" s="12"/>
      <c r="Q915" s="18"/>
    </row>
    <row r="916" customFormat="false" ht="15" hidden="false" customHeight="fals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2"/>
      <c r="M916" s="18"/>
      <c r="N916" s="12"/>
      <c r="O916" s="12"/>
      <c r="P916" s="12"/>
      <c r="Q916" s="18"/>
    </row>
    <row r="917" customFormat="false" ht="15" hidden="false" customHeight="fals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2"/>
      <c r="M917" s="18"/>
      <c r="N917" s="12"/>
      <c r="O917" s="12"/>
      <c r="P917" s="12"/>
      <c r="Q917" s="18"/>
    </row>
    <row r="918" customFormat="false" ht="15" hidden="false" customHeight="fals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2"/>
      <c r="M918" s="18"/>
      <c r="N918" s="12"/>
      <c r="O918" s="12"/>
      <c r="P918" s="12"/>
      <c r="Q918" s="18"/>
    </row>
    <row r="919" customFormat="false" ht="15" hidden="false" customHeight="fals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2"/>
      <c r="M919" s="18"/>
      <c r="N919" s="12"/>
      <c r="O919" s="12"/>
      <c r="P919" s="12"/>
      <c r="Q919" s="18"/>
    </row>
    <row r="920" customFormat="false" ht="15" hidden="false" customHeight="fals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2"/>
      <c r="M920" s="18"/>
      <c r="N920" s="12"/>
      <c r="O920" s="12"/>
      <c r="P920" s="12"/>
      <c r="Q920" s="18"/>
    </row>
    <row r="921" customFormat="false" ht="15" hidden="false" customHeight="fals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2"/>
      <c r="M921" s="18"/>
      <c r="N921" s="12"/>
      <c r="O921" s="12"/>
      <c r="P921" s="12"/>
      <c r="Q921" s="18"/>
    </row>
    <row r="922" customFormat="false" ht="15" hidden="false" customHeight="fals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2"/>
      <c r="M922" s="18"/>
      <c r="N922" s="12"/>
      <c r="O922" s="12"/>
      <c r="P922" s="12"/>
      <c r="Q922" s="18"/>
    </row>
    <row r="923" customFormat="false" ht="15" hidden="false" customHeight="fals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2"/>
      <c r="M923" s="18"/>
      <c r="N923" s="12"/>
      <c r="O923" s="12"/>
      <c r="P923" s="12"/>
      <c r="Q923" s="18"/>
    </row>
    <row r="924" customFormat="false" ht="15" hidden="false" customHeight="fals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2"/>
      <c r="M924" s="18"/>
      <c r="N924" s="12"/>
      <c r="O924" s="12"/>
      <c r="P924" s="12"/>
      <c r="Q924" s="18"/>
    </row>
    <row r="925" customFormat="false" ht="15" hidden="false" customHeight="fals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2"/>
      <c r="M925" s="18"/>
      <c r="N925" s="12"/>
      <c r="O925" s="12"/>
      <c r="P925" s="12"/>
      <c r="Q925" s="18"/>
    </row>
    <row r="926" customFormat="false" ht="15" hidden="false" customHeight="fals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2"/>
      <c r="M926" s="18"/>
      <c r="N926" s="12"/>
      <c r="O926" s="12"/>
      <c r="P926" s="12"/>
      <c r="Q926" s="18"/>
    </row>
    <row r="927" customFormat="false" ht="15" hidden="false" customHeight="fals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2"/>
      <c r="M927" s="18"/>
      <c r="N927" s="12"/>
      <c r="O927" s="12"/>
      <c r="P927" s="12"/>
      <c r="Q927" s="18"/>
    </row>
    <row r="928" customFormat="false" ht="15" hidden="false" customHeight="fals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2"/>
      <c r="M928" s="18"/>
      <c r="N928" s="12"/>
      <c r="O928" s="12"/>
      <c r="P928" s="12"/>
      <c r="Q928" s="18"/>
    </row>
    <row r="929" customFormat="false" ht="15" hidden="false" customHeight="fals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2"/>
      <c r="M929" s="18"/>
      <c r="N929" s="12"/>
      <c r="O929" s="12"/>
      <c r="P929" s="12"/>
      <c r="Q929" s="18"/>
    </row>
    <row r="930" customFormat="false" ht="15" hidden="false" customHeight="fals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2"/>
      <c r="M930" s="18"/>
      <c r="N930" s="12"/>
      <c r="O930" s="12"/>
      <c r="P930" s="12"/>
      <c r="Q930" s="18"/>
    </row>
    <row r="931" customFormat="false" ht="15" hidden="false" customHeight="fals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2"/>
      <c r="M931" s="18"/>
      <c r="N931" s="12"/>
      <c r="O931" s="12"/>
      <c r="P931" s="12"/>
      <c r="Q931" s="18"/>
    </row>
    <row r="932" customFormat="false" ht="15" hidden="false" customHeight="fals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2"/>
      <c r="M932" s="18"/>
      <c r="N932" s="12"/>
      <c r="O932" s="12"/>
      <c r="P932" s="12"/>
      <c r="Q932" s="18"/>
    </row>
    <row r="933" customFormat="false" ht="15" hidden="false" customHeight="fals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2"/>
      <c r="M933" s="18"/>
      <c r="N933" s="12"/>
      <c r="O933" s="12"/>
      <c r="P933" s="12"/>
      <c r="Q933" s="18"/>
    </row>
    <row r="934" customFormat="false" ht="15" hidden="false" customHeight="false" outlineLevel="0" collapsed="false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2"/>
      <c r="M934" s="18"/>
      <c r="N934" s="12"/>
      <c r="O934" s="12"/>
      <c r="P934" s="12"/>
      <c r="Q934" s="18"/>
    </row>
    <row r="935" customFormat="false" ht="15" hidden="false" customHeight="fals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2"/>
      <c r="M935" s="18"/>
      <c r="N935" s="12"/>
      <c r="O935" s="12"/>
      <c r="P935" s="12"/>
      <c r="Q935" s="18"/>
    </row>
    <row r="936" customFormat="false" ht="15" hidden="false" customHeight="false" outlineLevel="0" collapsed="false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2"/>
      <c r="M936" s="18"/>
      <c r="N936" s="12"/>
      <c r="O936" s="12"/>
      <c r="P936" s="12"/>
      <c r="Q936" s="18"/>
    </row>
    <row r="937" customFormat="false" ht="15" hidden="false" customHeight="fals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2"/>
      <c r="M937" s="18"/>
      <c r="N937" s="12"/>
      <c r="O937" s="12"/>
      <c r="P937" s="12"/>
      <c r="Q937" s="18"/>
    </row>
    <row r="938" customFormat="false" ht="15" hidden="false" customHeight="false" outlineLevel="0" collapsed="false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2"/>
      <c r="M938" s="18"/>
      <c r="N938" s="12"/>
      <c r="O938" s="12"/>
      <c r="P938" s="12"/>
      <c r="Q938" s="18"/>
    </row>
    <row r="939" customFormat="false" ht="15" hidden="false" customHeight="fals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2"/>
      <c r="M939" s="18"/>
      <c r="N939" s="12"/>
      <c r="O939" s="12"/>
      <c r="P939" s="12"/>
      <c r="Q939" s="18"/>
    </row>
    <row r="940" customFormat="false" ht="15" hidden="false" customHeight="false" outlineLevel="0" collapsed="false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2"/>
      <c r="M940" s="18"/>
      <c r="N940" s="12"/>
      <c r="O940" s="12"/>
      <c r="P940" s="12"/>
      <c r="Q940" s="18"/>
    </row>
    <row r="941" customFormat="false" ht="15" hidden="false" customHeight="fals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2"/>
      <c r="M941" s="18"/>
      <c r="N941" s="12"/>
      <c r="O941" s="12"/>
      <c r="P941" s="12"/>
      <c r="Q941" s="18"/>
    </row>
    <row r="942" customFormat="false" ht="15" hidden="false" customHeight="false" outlineLevel="0" collapsed="false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2"/>
      <c r="M942" s="18"/>
      <c r="N942" s="12"/>
      <c r="O942" s="12"/>
      <c r="P942" s="12"/>
      <c r="Q942" s="18"/>
    </row>
    <row r="943" customFormat="false" ht="15" hidden="false" customHeight="fals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2"/>
      <c r="M943" s="18"/>
      <c r="N943" s="12"/>
      <c r="O943" s="12"/>
      <c r="P943" s="12"/>
      <c r="Q943" s="18"/>
    </row>
    <row r="944" customFormat="false" ht="15" hidden="false" customHeight="false" outlineLevel="0" collapsed="false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2"/>
      <c r="M944" s="18"/>
      <c r="N944" s="12"/>
      <c r="O944" s="12"/>
      <c r="P944" s="12"/>
      <c r="Q944" s="18"/>
    </row>
    <row r="945" customFormat="false" ht="15" hidden="false" customHeight="fals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2"/>
      <c r="M945" s="18"/>
      <c r="N945" s="12"/>
      <c r="O945" s="12"/>
      <c r="P945" s="12"/>
      <c r="Q945" s="18"/>
    </row>
    <row r="946" customFormat="false" ht="15" hidden="false" customHeight="false" outlineLevel="0" collapsed="false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2"/>
      <c r="M946" s="18"/>
      <c r="N946" s="12"/>
      <c r="O946" s="12"/>
      <c r="P946" s="12"/>
      <c r="Q946" s="18"/>
    </row>
    <row r="947" customFormat="false" ht="15" hidden="false" customHeight="fals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2"/>
      <c r="M947" s="18"/>
      <c r="N947" s="12"/>
      <c r="O947" s="12"/>
      <c r="P947" s="12"/>
      <c r="Q947" s="18"/>
    </row>
    <row r="948" customFormat="false" ht="15" hidden="false" customHeight="false" outlineLevel="0" collapsed="false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2"/>
      <c r="M948" s="18"/>
      <c r="N948" s="12"/>
      <c r="O948" s="12"/>
      <c r="P948" s="12"/>
      <c r="Q948" s="18"/>
    </row>
    <row r="949" customFormat="false" ht="15" hidden="false" customHeight="false" outlineLevel="0" collapsed="false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2"/>
      <c r="M949" s="18"/>
      <c r="N949" s="12"/>
      <c r="O949" s="12"/>
      <c r="P949" s="12"/>
      <c r="Q949" s="18"/>
    </row>
    <row r="950" customFormat="false" ht="15" hidden="false" customHeight="false" outlineLevel="0" collapsed="false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2"/>
      <c r="M950" s="18"/>
      <c r="N950" s="12"/>
      <c r="O950" s="12"/>
      <c r="P950" s="12"/>
      <c r="Q950" s="18"/>
    </row>
    <row r="951" customFormat="false" ht="15" hidden="false" customHeight="false" outlineLevel="0" collapsed="false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2"/>
      <c r="M951" s="18"/>
      <c r="N951" s="12"/>
      <c r="O951" s="12"/>
      <c r="P951" s="12"/>
      <c r="Q951" s="18"/>
    </row>
    <row r="952" customFormat="false" ht="15" hidden="false" customHeight="false" outlineLevel="0" collapsed="false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2"/>
      <c r="M952" s="18"/>
      <c r="N952" s="12"/>
      <c r="O952" s="12"/>
      <c r="P952" s="12"/>
      <c r="Q952" s="18"/>
    </row>
    <row r="953" customFormat="false" ht="15" hidden="false" customHeight="false" outlineLevel="0" collapsed="false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2"/>
      <c r="M953" s="18"/>
      <c r="N953" s="12"/>
      <c r="O953" s="12"/>
      <c r="P953" s="12"/>
      <c r="Q953" s="18"/>
    </row>
    <row r="954" customFormat="false" ht="15" hidden="false" customHeight="false" outlineLevel="0" collapsed="false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2"/>
      <c r="M954" s="18"/>
      <c r="N954" s="12"/>
      <c r="O954" s="12"/>
      <c r="P954" s="12"/>
      <c r="Q954" s="18"/>
    </row>
    <row r="955" customFormat="false" ht="15" hidden="false" customHeight="false" outlineLevel="0" collapsed="false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2"/>
      <c r="M955" s="18"/>
      <c r="N955" s="12"/>
      <c r="O955" s="12"/>
      <c r="P955" s="12"/>
      <c r="Q955" s="18"/>
    </row>
    <row r="956" customFormat="false" ht="15" hidden="false" customHeight="false" outlineLevel="0" collapsed="false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2"/>
      <c r="M956" s="18"/>
      <c r="N956" s="12"/>
      <c r="O956" s="12"/>
      <c r="P956" s="12"/>
      <c r="Q956" s="18"/>
    </row>
    <row r="957" customFormat="false" ht="15" hidden="false" customHeight="false" outlineLevel="0" collapsed="false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2"/>
      <c r="M957" s="18"/>
      <c r="N957" s="12"/>
      <c r="O957" s="12"/>
      <c r="P957" s="12"/>
      <c r="Q957" s="18"/>
    </row>
    <row r="958" customFormat="false" ht="15" hidden="false" customHeight="false" outlineLevel="0" collapsed="false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2"/>
      <c r="M958" s="18"/>
      <c r="N958" s="12"/>
      <c r="O958" s="12"/>
      <c r="P958" s="12"/>
      <c r="Q958" s="18"/>
    </row>
    <row r="959" customFormat="false" ht="15" hidden="false" customHeight="false" outlineLevel="0" collapsed="false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2"/>
      <c r="M959" s="18"/>
      <c r="N959" s="12"/>
      <c r="O959" s="12"/>
      <c r="P959" s="12"/>
      <c r="Q959" s="18"/>
    </row>
    <row r="960" customFormat="false" ht="15" hidden="false" customHeight="false" outlineLevel="0" collapsed="false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2"/>
      <c r="M960" s="18"/>
      <c r="N960" s="12"/>
      <c r="O960" s="12"/>
      <c r="P960" s="12"/>
      <c r="Q960" s="18"/>
    </row>
    <row r="961" customFormat="false" ht="15" hidden="false" customHeight="false" outlineLevel="0" collapsed="false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2"/>
      <c r="M961" s="18"/>
      <c r="N961" s="12"/>
      <c r="O961" s="12"/>
      <c r="P961" s="12"/>
      <c r="Q961" s="18"/>
    </row>
    <row r="962" customFormat="false" ht="15" hidden="false" customHeight="false" outlineLevel="0" collapsed="false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2"/>
      <c r="M962" s="18"/>
      <c r="N962" s="12"/>
      <c r="O962" s="12"/>
      <c r="P962" s="12"/>
      <c r="Q962" s="18"/>
    </row>
    <row r="963" customFormat="false" ht="15" hidden="false" customHeight="false" outlineLevel="0" collapsed="false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2"/>
      <c r="M963" s="18"/>
      <c r="N963" s="12"/>
      <c r="O963" s="12"/>
      <c r="P963" s="12"/>
      <c r="Q963" s="18"/>
    </row>
    <row r="964" customFormat="false" ht="15" hidden="false" customHeight="false" outlineLevel="0" collapsed="false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2"/>
      <c r="M964" s="18"/>
      <c r="N964" s="12"/>
      <c r="O964" s="12"/>
      <c r="P964" s="12"/>
      <c r="Q964" s="18"/>
    </row>
    <row r="965" customFormat="false" ht="15" hidden="false" customHeight="false" outlineLevel="0" collapsed="false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2"/>
      <c r="M965" s="18"/>
      <c r="N965" s="12"/>
      <c r="O965" s="12"/>
      <c r="P965" s="12"/>
      <c r="Q965" s="18"/>
    </row>
    <row r="966" customFormat="false" ht="15" hidden="false" customHeight="false" outlineLevel="0" collapsed="false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2"/>
      <c r="M966" s="18"/>
      <c r="N966" s="12"/>
      <c r="O966" s="12"/>
      <c r="P966" s="12"/>
      <c r="Q966" s="18"/>
    </row>
    <row r="967" customFormat="false" ht="15" hidden="false" customHeight="false" outlineLevel="0" collapsed="false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2"/>
      <c r="M967" s="18"/>
      <c r="N967" s="12"/>
      <c r="O967" s="12"/>
      <c r="P967" s="12"/>
      <c r="Q967" s="18"/>
    </row>
    <row r="968" customFormat="false" ht="15" hidden="false" customHeight="false" outlineLevel="0" collapsed="false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2"/>
      <c r="M968" s="18"/>
      <c r="N968" s="12"/>
      <c r="O968" s="12"/>
      <c r="P968" s="12"/>
      <c r="Q968" s="18"/>
    </row>
    <row r="969" customFormat="false" ht="15" hidden="false" customHeight="false" outlineLevel="0" collapsed="false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2"/>
      <c r="M969" s="18"/>
      <c r="N969" s="12"/>
      <c r="O969" s="12"/>
      <c r="P969" s="12"/>
      <c r="Q969" s="18"/>
    </row>
    <row r="970" customFormat="false" ht="15" hidden="false" customHeight="false" outlineLevel="0" collapsed="false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2"/>
      <c r="M970" s="18"/>
      <c r="N970" s="12"/>
      <c r="O970" s="12"/>
      <c r="P970" s="12"/>
      <c r="Q970" s="18"/>
    </row>
    <row r="971" customFormat="false" ht="15" hidden="false" customHeight="false" outlineLevel="0" collapsed="false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2"/>
      <c r="M971" s="18"/>
      <c r="N971" s="12"/>
      <c r="O971" s="12"/>
      <c r="P971" s="12"/>
      <c r="Q971" s="18"/>
    </row>
    <row r="972" customFormat="false" ht="15" hidden="false" customHeight="false" outlineLevel="0" collapsed="false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2"/>
      <c r="M972" s="18"/>
      <c r="N972" s="12"/>
      <c r="O972" s="12"/>
      <c r="P972" s="12"/>
      <c r="Q972" s="18"/>
    </row>
    <row r="973" customFormat="false" ht="15" hidden="false" customHeight="false" outlineLevel="0" collapsed="false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2"/>
      <c r="M973" s="18"/>
      <c r="N973" s="12"/>
      <c r="O973" s="12"/>
      <c r="P973" s="12"/>
      <c r="Q973" s="18"/>
    </row>
    <row r="974" customFormat="false" ht="15" hidden="false" customHeight="false" outlineLevel="0" collapsed="false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2"/>
      <c r="M974" s="18"/>
      <c r="N974" s="12"/>
      <c r="O974" s="12"/>
      <c r="P974" s="12"/>
      <c r="Q974" s="18"/>
    </row>
    <row r="975" customFormat="false" ht="15" hidden="false" customHeight="false" outlineLevel="0" collapsed="false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2"/>
      <c r="M975" s="18"/>
      <c r="N975" s="12"/>
      <c r="O975" s="12"/>
      <c r="P975" s="12"/>
      <c r="Q975" s="18"/>
    </row>
    <row r="976" customFormat="false" ht="15" hidden="false" customHeight="false" outlineLevel="0" collapsed="false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2"/>
      <c r="M976" s="18"/>
      <c r="N976" s="12"/>
      <c r="O976" s="12"/>
      <c r="P976" s="12"/>
      <c r="Q976" s="18"/>
    </row>
    <row r="977" customFormat="false" ht="15" hidden="false" customHeight="false" outlineLevel="0" collapsed="false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2"/>
      <c r="M977" s="18"/>
      <c r="N977" s="12"/>
      <c r="O977" s="12"/>
      <c r="P977" s="12"/>
      <c r="Q977" s="18"/>
    </row>
    <row r="978" customFormat="false" ht="15" hidden="false" customHeight="false" outlineLevel="0" collapsed="false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2"/>
      <c r="M978" s="18"/>
      <c r="N978" s="12"/>
      <c r="O978" s="12"/>
      <c r="P978" s="12"/>
      <c r="Q978" s="18"/>
    </row>
    <row r="979" customFormat="false" ht="15" hidden="false" customHeight="false" outlineLevel="0" collapsed="false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2"/>
      <c r="M979" s="18"/>
      <c r="N979" s="12"/>
      <c r="O979" s="12"/>
      <c r="P979" s="12"/>
      <c r="Q979" s="18"/>
    </row>
    <row r="980" customFormat="false" ht="15" hidden="false" customHeight="false" outlineLevel="0" collapsed="false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2"/>
      <c r="M980" s="18"/>
      <c r="N980" s="12"/>
      <c r="O980" s="12"/>
      <c r="P980" s="12"/>
      <c r="Q980" s="18"/>
    </row>
    <row r="981" customFormat="false" ht="15" hidden="false" customHeight="false" outlineLevel="0" collapsed="false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2"/>
      <c r="M981" s="18"/>
      <c r="N981" s="12"/>
      <c r="O981" s="12"/>
      <c r="P981" s="12"/>
      <c r="Q981" s="18"/>
    </row>
    <row r="982" customFormat="false" ht="15" hidden="false" customHeight="false" outlineLevel="0" collapsed="false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2"/>
      <c r="M982" s="18"/>
      <c r="N982" s="12"/>
      <c r="O982" s="12"/>
      <c r="P982" s="12"/>
      <c r="Q982" s="18"/>
    </row>
    <row r="983" customFormat="false" ht="15" hidden="false" customHeight="false" outlineLevel="0" collapsed="false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2"/>
      <c r="M983" s="18"/>
      <c r="N983" s="12"/>
      <c r="O983" s="12"/>
      <c r="P983" s="12"/>
      <c r="Q983" s="18"/>
    </row>
    <row r="984" customFormat="false" ht="15" hidden="false" customHeight="false" outlineLevel="0" collapsed="false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2"/>
      <c r="M984" s="18"/>
      <c r="N984" s="12"/>
      <c r="O984" s="12"/>
      <c r="P984" s="12"/>
      <c r="Q984" s="18"/>
    </row>
    <row r="985" customFormat="false" ht="15" hidden="false" customHeight="false" outlineLevel="0" collapsed="false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2"/>
      <c r="M985" s="18"/>
      <c r="N985" s="12"/>
      <c r="O985" s="12"/>
      <c r="P985" s="12"/>
      <c r="Q985" s="18"/>
    </row>
    <row r="986" customFormat="false" ht="15" hidden="false" customHeight="false" outlineLevel="0" collapsed="false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2"/>
      <c r="M986" s="18"/>
      <c r="N986" s="12"/>
      <c r="O986" s="12"/>
      <c r="P986" s="12"/>
      <c r="Q986" s="18"/>
    </row>
    <row r="987" customFormat="false" ht="15" hidden="false" customHeight="false" outlineLevel="0" collapsed="false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2"/>
      <c r="M987" s="18"/>
      <c r="N987" s="12"/>
      <c r="O987" s="12"/>
      <c r="P987" s="12"/>
      <c r="Q987" s="18"/>
    </row>
    <row r="988" customFormat="false" ht="15" hidden="false" customHeight="false" outlineLevel="0" collapsed="false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2"/>
      <c r="M988" s="18"/>
      <c r="N988" s="12"/>
      <c r="O988" s="12"/>
      <c r="P988" s="12"/>
      <c r="Q988" s="18"/>
    </row>
    <row r="989" customFormat="false" ht="15" hidden="false" customHeight="false" outlineLevel="0" collapsed="false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2"/>
      <c r="M989" s="18"/>
      <c r="N989" s="12"/>
      <c r="O989" s="12"/>
      <c r="P989" s="12"/>
      <c r="Q989" s="18"/>
    </row>
    <row r="990" customFormat="false" ht="15" hidden="false" customHeight="false" outlineLevel="0" collapsed="false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2"/>
      <c r="M990" s="18"/>
      <c r="N990" s="12"/>
      <c r="O990" s="12"/>
      <c r="P990" s="12"/>
      <c r="Q990" s="18"/>
    </row>
    <row r="991" customFormat="false" ht="15" hidden="false" customHeight="false" outlineLevel="0" collapsed="false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2"/>
      <c r="M991" s="18"/>
      <c r="N991" s="12"/>
      <c r="O991" s="12"/>
      <c r="P991" s="12"/>
      <c r="Q991" s="18"/>
    </row>
    <row r="992" customFormat="false" ht="15" hidden="false" customHeight="false" outlineLevel="0" collapsed="false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2"/>
      <c r="M992" s="18"/>
      <c r="N992" s="12"/>
      <c r="O992" s="12"/>
      <c r="P992" s="12"/>
      <c r="Q992" s="18"/>
    </row>
    <row r="993" customFormat="false" ht="15" hidden="false" customHeight="false" outlineLevel="0" collapsed="false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2"/>
      <c r="M993" s="18"/>
      <c r="N993" s="12"/>
      <c r="O993" s="12"/>
      <c r="P993" s="12"/>
      <c r="Q993" s="18"/>
    </row>
    <row r="994" customFormat="false" ht="15" hidden="false" customHeight="false" outlineLevel="0" collapsed="false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2"/>
      <c r="M994" s="18"/>
      <c r="N994" s="12"/>
      <c r="O994" s="12"/>
      <c r="P994" s="12"/>
      <c r="Q994" s="18"/>
    </row>
    <row r="995" customFormat="false" ht="15" hidden="false" customHeight="false" outlineLevel="0" collapsed="false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2"/>
      <c r="M995" s="18"/>
      <c r="N995" s="12"/>
      <c r="O995" s="12"/>
      <c r="P995" s="12"/>
      <c r="Q995" s="18"/>
    </row>
    <row r="996" customFormat="false" ht="15" hidden="false" customHeight="false" outlineLevel="0" collapsed="false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2"/>
      <c r="M996" s="18"/>
      <c r="N996" s="12"/>
      <c r="O996" s="12"/>
      <c r="P996" s="12"/>
      <c r="Q996" s="18"/>
    </row>
    <row r="997" customFormat="false" ht="15" hidden="false" customHeight="false" outlineLevel="0" collapsed="false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2"/>
      <c r="M997" s="18"/>
      <c r="N997" s="12"/>
      <c r="O997" s="12"/>
      <c r="P997" s="12"/>
      <c r="Q997" s="18"/>
    </row>
    <row r="998" customFormat="false" ht="15" hidden="false" customHeight="false" outlineLevel="0" collapsed="false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2"/>
      <c r="M998" s="18"/>
      <c r="N998" s="12"/>
      <c r="O998" s="12"/>
      <c r="P998" s="12"/>
      <c r="Q998" s="18"/>
    </row>
    <row r="999" customFormat="false" ht="15" hidden="false" customHeight="false" outlineLevel="0" collapsed="false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2"/>
      <c r="M999" s="18"/>
      <c r="N999" s="12"/>
      <c r="O999" s="12"/>
      <c r="P999" s="12"/>
      <c r="Q999" s="18"/>
    </row>
    <row r="1000" customFormat="false" ht="15" hidden="false" customHeight="false" outlineLevel="0" collapsed="false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2"/>
      <c r="M1000" s="18"/>
      <c r="N1000" s="12"/>
      <c r="O1000" s="12"/>
      <c r="P1000" s="12"/>
      <c r="Q1000" s="18"/>
    </row>
    <row r="1001" customFormat="false" ht="15" hidden="false" customHeight="false" outlineLevel="0" collapsed="false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2"/>
      <c r="M1001" s="18"/>
      <c r="N1001" s="12"/>
      <c r="O1001" s="12"/>
      <c r="P1001" s="12"/>
      <c r="Q1001" s="18"/>
    </row>
    <row r="1002" customFormat="false" ht="15" hidden="false" customHeight="false" outlineLevel="0" collapsed="false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2"/>
      <c r="M1002" s="18"/>
      <c r="N1002" s="12"/>
      <c r="O1002" s="12"/>
      <c r="P1002" s="12"/>
      <c r="Q1002" s="18"/>
    </row>
    <row r="1003" customFormat="false" ht="15" hidden="false" customHeight="false" outlineLevel="0" collapsed="false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2"/>
      <c r="M1003" s="18"/>
      <c r="N1003" s="12"/>
      <c r="O1003" s="12"/>
      <c r="P1003" s="12"/>
      <c r="Q1003" s="18"/>
    </row>
    <row r="1004" customFormat="false" ht="15" hidden="false" customHeight="false" outlineLevel="0" collapsed="false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2"/>
      <c r="M1004" s="18"/>
      <c r="N1004" s="12"/>
      <c r="O1004" s="12"/>
      <c r="P1004" s="12"/>
      <c r="Q1004" s="18"/>
    </row>
  </sheetData>
  <dataValidations count="4">
    <dataValidation allowBlank="true" errorStyle="stop" operator="between" showDropDown="false" showErrorMessage="false" showInputMessage="false" sqref="L4:L1004" type="list">
      <formula1>"1,0"</formula1>
      <formula2>0</formula2>
    </dataValidation>
    <dataValidation allowBlank="true" errorStyle="stop" operator="between" showDropDown="false" showErrorMessage="false" showInputMessage="false" sqref="N4:N1004" type="list">
      <formula1>"2,1,0"</formula1>
      <formula2>0</formula2>
    </dataValidation>
    <dataValidation allowBlank="true" errorStyle="stop" operator="between" showDropDown="false" showErrorMessage="false" showInputMessage="false" sqref="O4:O1004" type="list">
      <formula1>"1,0"</formula1>
      <formula2>0</formula2>
    </dataValidation>
    <dataValidation allowBlank="true" errorStyle="stop" operator="between" showDropDown="false" showErrorMessage="false" showInputMessage="false" sqref="P4:P1004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9" min="7" style="0" width="10"/>
    <col collapsed="false" customWidth="true" hidden="false" outlineLevel="0" max="10" min="10" style="0" width="8"/>
    <col collapsed="false" customWidth="true" hidden="false" outlineLevel="0" max="11" min="11" style="0" width="24"/>
  </cols>
  <sheetData>
    <row r="1" customFormat="false" ht="20.1" hidden="false" customHeight="false" outlineLevel="0" collapsed="false">
      <c r="A1" s="1" t="s">
        <v>334</v>
      </c>
    </row>
    <row r="3" customFormat="false" ht="30" hidden="false" customHeight="true" outlineLevel="0" collapsed="false">
      <c r="A3" s="8" t="s">
        <v>161</v>
      </c>
      <c r="B3" s="9" t="s">
        <v>165</v>
      </c>
      <c r="C3" s="8" t="s">
        <v>164</v>
      </c>
      <c r="D3" s="8" t="s">
        <v>335</v>
      </c>
      <c r="E3" s="8" t="s">
        <v>336</v>
      </c>
      <c r="F3" s="8" t="s">
        <v>337</v>
      </c>
      <c r="G3" s="8" t="s">
        <v>338</v>
      </c>
      <c r="H3" s="8" t="s">
        <v>339</v>
      </c>
      <c r="I3" s="8" t="s">
        <v>340</v>
      </c>
      <c r="J3" s="8" t="s">
        <v>312</v>
      </c>
      <c r="K3" s="8" t="s">
        <v>60</v>
      </c>
    </row>
    <row r="4" customFormat="false" ht="15" hidden="false" customHeight="false" outlineLevel="0" collapsed="false">
      <c r="A4" s="11" t="s">
        <v>177</v>
      </c>
      <c r="B4" s="10" t="n">
        <v>1</v>
      </c>
      <c r="C4" s="11" t="s">
        <v>180</v>
      </c>
      <c r="D4" s="10" t="n">
        <v>1</v>
      </c>
      <c r="E4" s="13" t="s">
        <v>341</v>
      </c>
      <c r="F4" s="11" t="n">
        <v>1</v>
      </c>
      <c r="G4" s="11" t="n">
        <v>4</v>
      </c>
      <c r="H4" s="11" t="n">
        <v>4</v>
      </c>
      <c r="I4" s="10" t="n">
        <v>3</v>
      </c>
      <c r="J4" s="11" t="s">
        <v>68</v>
      </c>
      <c r="K4" s="10" t="s">
        <v>69</v>
      </c>
    </row>
    <row r="5" customFormat="false" ht="15" hidden="false" customHeight="false" outlineLevel="0" collapsed="false">
      <c r="A5" s="18"/>
      <c r="B5" s="18"/>
      <c r="C5" s="18"/>
      <c r="D5" s="18"/>
      <c r="E5" s="18"/>
      <c r="F5" s="12"/>
      <c r="G5" s="12"/>
      <c r="H5" s="12"/>
      <c r="I5" s="18"/>
      <c r="J5" s="18"/>
      <c r="K5" s="18"/>
    </row>
    <row r="6" customFormat="false" ht="15" hidden="false" customHeight="false" outlineLevel="0" collapsed="false">
      <c r="A6" s="18"/>
      <c r="B6" s="18"/>
      <c r="C6" s="18"/>
      <c r="D6" s="18"/>
      <c r="E6" s="18"/>
      <c r="F6" s="12"/>
      <c r="G6" s="12"/>
      <c r="H6" s="12"/>
      <c r="I6" s="18"/>
      <c r="J6" s="18"/>
      <c r="K6" s="18"/>
    </row>
    <row r="7" customFormat="false" ht="15" hidden="false" customHeight="false" outlineLevel="0" collapsed="false">
      <c r="A7" s="18"/>
      <c r="B7" s="18"/>
      <c r="C7" s="18"/>
      <c r="D7" s="18"/>
      <c r="E7" s="18"/>
      <c r="F7" s="12"/>
      <c r="G7" s="12"/>
      <c r="H7" s="12"/>
      <c r="I7" s="18"/>
      <c r="J7" s="18"/>
      <c r="K7" s="18"/>
    </row>
    <row r="8" customFormat="false" ht="15" hidden="false" customHeight="false" outlineLevel="0" collapsed="false">
      <c r="A8" s="18"/>
      <c r="B8" s="18"/>
      <c r="C8" s="18"/>
      <c r="D8" s="18"/>
      <c r="E8" s="18"/>
      <c r="F8" s="12"/>
      <c r="G8" s="12"/>
      <c r="H8" s="12"/>
      <c r="I8" s="18"/>
      <c r="J8" s="18"/>
      <c r="K8" s="18"/>
    </row>
    <row r="9" customFormat="false" ht="15" hidden="false" customHeight="false" outlineLevel="0" collapsed="false">
      <c r="A9" s="18"/>
      <c r="B9" s="18"/>
      <c r="C9" s="18"/>
      <c r="D9" s="18"/>
      <c r="E9" s="18"/>
      <c r="F9" s="12"/>
      <c r="G9" s="12"/>
      <c r="H9" s="12"/>
      <c r="I9" s="18"/>
      <c r="J9" s="18"/>
      <c r="K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2"/>
      <c r="G10" s="12"/>
      <c r="H10" s="12"/>
      <c r="I10" s="18"/>
      <c r="J10" s="18"/>
      <c r="K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2"/>
      <c r="G11" s="12"/>
      <c r="H11" s="12"/>
      <c r="I11" s="18"/>
      <c r="J11" s="18"/>
      <c r="K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2"/>
      <c r="G12" s="12"/>
      <c r="H12" s="12"/>
      <c r="I12" s="18"/>
      <c r="J12" s="18"/>
      <c r="K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2"/>
      <c r="G13" s="12"/>
      <c r="H13" s="12"/>
      <c r="I13" s="18"/>
      <c r="J13" s="18"/>
      <c r="K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2"/>
      <c r="G14" s="12"/>
      <c r="H14" s="12"/>
      <c r="I14" s="18"/>
      <c r="J14" s="18"/>
      <c r="K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2"/>
      <c r="G15" s="12"/>
      <c r="H15" s="12"/>
      <c r="I15" s="18"/>
      <c r="J15" s="18"/>
      <c r="K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2"/>
      <c r="G16" s="12"/>
      <c r="H16" s="12"/>
      <c r="I16" s="18"/>
      <c r="J16" s="18"/>
      <c r="K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2"/>
      <c r="G17" s="12"/>
      <c r="H17" s="12"/>
      <c r="I17" s="18"/>
      <c r="J17" s="18"/>
      <c r="K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2"/>
      <c r="G18" s="12"/>
      <c r="H18" s="12"/>
      <c r="I18" s="18"/>
      <c r="J18" s="18"/>
      <c r="K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2"/>
      <c r="G19" s="12"/>
      <c r="H19" s="12"/>
      <c r="I19" s="18"/>
      <c r="J19" s="18"/>
      <c r="K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2"/>
      <c r="G20" s="12"/>
      <c r="H20" s="12"/>
      <c r="I20" s="18"/>
      <c r="J20" s="18"/>
      <c r="K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2"/>
      <c r="G21" s="12"/>
      <c r="H21" s="12"/>
      <c r="I21" s="18"/>
      <c r="J21" s="18"/>
      <c r="K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2"/>
      <c r="G22" s="12"/>
      <c r="H22" s="12"/>
      <c r="I22" s="18"/>
      <c r="J22" s="18"/>
      <c r="K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2"/>
      <c r="G23" s="12"/>
      <c r="H23" s="12"/>
      <c r="I23" s="18"/>
      <c r="J23" s="18"/>
      <c r="K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2"/>
      <c r="G24" s="12"/>
      <c r="H24" s="12"/>
      <c r="I24" s="18"/>
      <c r="J24" s="18"/>
      <c r="K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2"/>
      <c r="G25" s="12"/>
      <c r="H25" s="12"/>
      <c r="I25" s="18"/>
      <c r="J25" s="18"/>
      <c r="K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2"/>
      <c r="G26" s="12"/>
      <c r="H26" s="12"/>
      <c r="I26" s="18"/>
      <c r="J26" s="18"/>
      <c r="K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2"/>
      <c r="G27" s="12"/>
      <c r="H27" s="12"/>
      <c r="I27" s="18"/>
      <c r="J27" s="18"/>
      <c r="K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2"/>
      <c r="G28" s="12"/>
      <c r="H28" s="12"/>
      <c r="I28" s="18"/>
      <c r="J28" s="18"/>
      <c r="K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2"/>
      <c r="G29" s="12"/>
      <c r="H29" s="12"/>
      <c r="I29" s="18"/>
      <c r="J29" s="18"/>
      <c r="K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2"/>
      <c r="G30" s="12"/>
      <c r="H30" s="12"/>
      <c r="I30" s="18"/>
      <c r="J30" s="18"/>
      <c r="K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2"/>
      <c r="G31" s="12"/>
      <c r="H31" s="12"/>
      <c r="I31" s="18"/>
      <c r="J31" s="18"/>
      <c r="K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2"/>
      <c r="G32" s="12"/>
      <c r="H32" s="12"/>
      <c r="I32" s="18"/>
      <c r="J32" s="18"/>
      <c r="K32" s="18"/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2"/>
      <c r="G33" s="12"/>
      <c r="H33" s="12"/>
      <c r="I33" s="18"/>
      <c r="J33" s="18"/>
      <c r="K33" s="18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2"/>
      <c r="G34" s="12"/>
      <c r="H34" s="12"/>
      <c r="I34" s="18"/>
      <c r="J34" s="18"/>
      <c r="K34" s="18"/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2"/>
      <c r="G35" s="12"/>
      <c r="H35" s="12"/>
      <c r="I35" s="18"/>
      <c r="J35" s="18"/>
      <c r="K35" s="18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2"/>
      <c r="G36" s="12"/>
      <c r="H36" s="12"/>
      <c r="I36" s="18"/>
      <c r="J36" s="18"/>
      <c r="K36" s="18"/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2"/>
      <c r="G37" s="12"/>
      <c r="H37" s="12"/>
      <c r="I37" s="18"/>
      <c r="J37" s="18"/>
      <c r="K37" s="18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2"/>
      <c r="G38" s="12"/>
      <c r="H38" s="12"/>
      <c r="I38" s="18"/>
      <c r="J38" s="18"/>
      <c r="K38" s="18"/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2"/>
      <c r="G39" s="12"/>
      <c r="H39" s="12"/>
      <c r="I39" s="18"/>
      <c r="J39" s="18"/>
      <c r="K39" s="18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2"/>
      <c r="G40" s="12"/>
      <c r="H40" s="12"/>
      <c r="I40" s="18"/>
      <c r="J40" s="18"/>
      <c r="K40" s="18"/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2"/>
      <c r="G41" s="12"/>
      <c r="H41" s="12"/>
      <c r="I41" s="18"/>
      <c r="J41" s="18"/>
      <c r="K41" s="18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2"/>
      <c r="G42" s="12"/>
      <c r="H42" s="12"/>
      <c r="I42" s="18"/>
      <c r="J42" s="18"/>
      <c r="K42" s="18"/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12"/>
      <c r="G43" s="12"/>
      <c r="H43" s="12"/>
      <c r="I43" s="18"/>
      <c r="J43" s="18"/>
      <c r="K43" s="18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2"/>
      <c r="G44" s="12"/>
      <c r="H44" s="12"/>
      <c r="I44" s="18"/>
      <c r="J44" s="18"/>
      <c r="K44" s="18"/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12"/>
      <c r="G45" s="12"/>
      <c r="H45" s="12"/>
      <c r="I45" s="18"/>
      <c r="J45" s="18"/>
      <c r="K45" s="18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2"/>
      <c r="G46" s="12"/>
      <c r="H46" s="12"/>
      <c r="I46" s="18"/>
      <c r="J46" s="18"/>
      <c r="K46" s="18"/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12"/>
      <c r="G47" s="12"/>
      <c r="H47" s="12"/>
      <c r="I47" s="18"/>
      <c r="J47" s="18"/>
      <c r="K47" s="18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2"/>
      <c r="G48" s="12"/>
      <c r="H48" s="12"/>
      <c r="I48" s="18"/>
      <c r="J48" s="18"/>
      <c r="K48" s="18"/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12"/>
      <c r="G49" s="12"/>
      <c r="H49" s="12"/>
      <c r="I49" s="18"/>
      <c r="J49" s="18"/>
      <c r="K49" s="18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2"/>
      <c r="G50" s="12"/>
      <c r="H50" s="12"/>
      <c r="I50" s="18"/>
      <c r="J50" s="18"/>
      <c r="K50" s="18"/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12"/>
      <c r="G51" s="12"/>
      <c r="H51" s="12"/>
      <c r="I51" s="18"/>
      <c r="J51" s="18"/>
      <c r="K51" s="18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2"/>
      <c r="G52" s="12"/>
      <c r="H52" s="12"/>
      <c r="I52" s="18"/>
      <c r="J52" s="18"/>
      <c r="K52" s="18"/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12"/>
      <c r="G53" s="12"/>
      <c r="H53" s="12"/>
      <c r="I53" s="18"/>
      <c r="J53" s="18"/>
      <c r="K53" s="18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2"/>
      <c r="G54" s="12"/>
      <c r="H54" s="12"/>
      <c r="I54" s="18"/>
      <c r="J54" s="18"/>
      <c r="K54" s="18"/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12"/>
      <c r="G55" s="12"/>
      <c r="H55" s="12"/>
      <c r="I55" s="18"/>
      <c r="J55" s="18"/>
      <c r="K55" s="18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2"/>
      <c r="G56" s="12"/>
      <c r="H56" s="12"/>
      <c r="I56" s="18"/>
      <c r="J56" s="18"/>
      <c r="K56" s="18"/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12"/>
      <c r="G57" s="12"/>
      <c r="H57" s="12"/>
      <c r="I57" s="18"/>
      <c r="J57" s="18"/>
      <c r="K57" s="18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2"/>
      <c r="G58" s="12"/>
      <c r="H58" s="12"/>
      <c r="I58" s="18"/>
      <c r="J58" s="18"/>
      <c r="K58" s="18"/>
    </row>
    <row r="59" customFormat="false" ht="15" hidden="false" customHeight="false" outlineLevel="0" collapsed="false">
      <c r="A59" s="18"/>
      <c r="B59" s="18"/>
      <c r="C59" s="18"/>
      <c r="D59" s="18"/>
      <c r="E59" s="18"/>
      <c r="F59" s="12"/>
      <c r="G59" s="12"/>
      <c r="H59" s="12"/>
      <c r="I59" s="18"/>
      <c r="J59" s="18"/>
      <c r="K59" s="18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2"/>
      <c r="G60" s="12"/>
      <c r="H60" s="12"/>
      <c r="I60" s="18"/>
      <c r="J60" s="18"/>
      <c r="K60" s="18"/>
    </row>
    <row r="61" customFormat="false" ht="15" hidden="false" customHeight="false" outlineLevel="0" collapsed="false">
      <c r="A61" s="18"/>
      <c r="B61" s="18"/>
      <c r="C61" s="18"/>
      <c r="D61" s="18"/>
      <c r="E61" s="18"/>
      <c r="F61" s="12"/>
      <c r="G61" s="12"/>
      <c r="H61" s="12"/>
      <c r="I61" s="18"/>
      <c r="J61" s="18"/>
      <c r="K61" s="18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2"/>
      <c r="G62" s="12"/>
      <c r="H62" s="12"/>
      <c r="I62" s="18"/>
      <c r="J62" s="18"/>
      <c r="K62" s="18"/>
    </row>
    <row r="63" customFormat="false" ht="15" hidden="false" customHeight="false" outlineLevel="0" collapsed="false">
      <c r="A63" s="18"/>
      <c r="B63" s="18"/>
      <c r="C63" s="18"/>
      <c r="D63" s="18"/>
      <c r="E63" s="18"/>
      <c r="F63" s="12"/>
      <c r="G63" s="12"/>
      <c r="H63" s="12"/>
      <c r="I63" s="18"/>
      <c r="J63" s="18"/>
      <c r="K63" s="18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2"/>
      <c r="G64" s="12"/>
      <c r="H64" s="12"/>
      <c r="I64" s="18"/>
      <c r="J64" s="18"/>
      <c r="K64" s="18"/>
    </row>
    <row r="65" customFormat="false" ht="15" hidden="false" customHeight="false" outlineLevel="0" collapsed="false">
      <c r="A65" s="18"/>
      <c r="B65" s="18"/>
      <c r="C65" s="18"/>
      <c r="D65" s="18"/>
      <c r="E65" s="18"/>
      <c r="F65" s="12"/>
      <c r="G65" s="12"/>
      <c r="H65" s="12"/>
      <c r="I65" s="18"/>
      <c r="J65" s="18"/>
      <c r="K65" s="18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2"/>
      <c r="G66" s="12"/>
      <c r="H66" s="12"/>
      <c r="I66" s="18"/>
      <c r="J66" s="18"/>
      <c r="K66" s="18"/>
    </row>
    <row r="67" customFormat="false" ht="15" hidden="false" customHeight="false" outlineLevel="0" collapsed="false">
      <c r="A67" s="18"/>
      <c r="B67" s="18"/>
      <c r="C67" s="18"/>
      <c r="D67" s="18"/>
      <c r="E67" s="18"/>
      <c r="F67" s="12"/>
      <c r="G67" s="12"/>
      <c r="H67" s="12"/>
      <c r="I67" s="18"/>
      <c r="J67" s="18"/>
      <c r="K67" s="18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2"/>
      <c r="G68" s="12"/>
      <c r="H68" s="12"/>
      <c r="I68" s="18"/>
      <c r="J68" s="18"/>
      <c r="K68" s="18"/>
    </row>
    <row r="69" customFormat="false" ht="15" hidden="false" customHeight="false" outlineLevel="0" collapsed="false">
      <c r="A69" s="18"/>
      <c r="B69" s="18"/>
      <c r="C69" s="18"/>
      <c r="D69" s="18"/>
      <c r="E69" s="18"/>
      <c r="F69" s="12"/>
      <c r="G69" s="12"/>
      <c r="H69" s="12"/>
      <c r="I69" s="18"/>
      <c r="J69" s="18"/>
      <c r="K69" s="18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2"/>
      <c r="G70" s="12"/>
      <c r="H70" s="12"/>
      <c r="I70" s="18"/>
      <c r="J70" s="18"/>
      <c r="K70" s="18"/>
    </row>
    <row r="71" customFormat="false" ht="15" hidden="false" customHeight="false" outlineLevel="0" collapsed="false">
      <c r="A71" s="18"/>
      <c r="B71" s="18"/>
      <c r="C71" s="18"/>
      <c r="D71" s="18"/>
      <c r="E71" s="18"/>
      <c r="F71" s="12"/>
      <c r="G71" s="12"/>
      <c r="H71" s="12"/>
      <c r="I71" s="18"/>
      <c r="J71" s="18"/>
      <c r="K71" s="18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2"/>
      <c r="G72" s="12"/>
      <c r="H72" s="12"/>
      <c r="I72" s="18"/>
      <c r="J72" s="18"/>
      <c r="K72" s="18"/>
    </row>
    <row r="73" customFormat="false" ht="15" hidden="false" customHeight="false" outlineLevel="0" collapsed="false">
      <c r="A73" s="18"/>
      <c r="B73" s="18"/>
      <c r="C73" s="18"/>
      <c r="D73" s="18"/>
      <c r="E73" s="18"/>
      <c r="F73" s="12"/>
      <c r="G73" s="12"/>
      <c r="H73" s="12"/>
      <c r="I73" s="18"/>
      <c r="J73" s="18"/>
      <c r="K73" s="18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2"/>
      <c r="G74" s="12"/>
      <c r="H74" s="12"/>
      <c r="I74" s="18"/>
      <c r="J74" s="18"/>
      <c r="K74" s="18"/>
    </row>
    <row r="75" customFormat="false" ht="15" hidden="false" customHeight="false" outlineLevel="0" collapsed="false">
      <c r="A75" s="18"/>
      <c r="B75" s="18"/>
      <c r="C75" s="18"/>
      <c r="D75" s="18"/>
      <c r="E75" s="18"/>
      <c r="F75" s="12"/>
      <c r="G75" s="12"/>
      <c r="H75" s="12"/>
      <c r="I75" s="18"/>
      <c r="J75" s="18"/>
      <c r="K75" s="18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2"/>
      <c r="G76" s="12"/>
      <c r="H76" s="12"/>
      <c r="I76" s="18"/>
      <c r="J76" s="18"/>
      <c r="K76" s="18"/>
    </row>
    <row r="77" customFormat="false" ht="15" hidden="false" customHeight="false" outlineLevel="0" collapsed="false">
      <c r="A77" s="18"/>
      <c r="B77" s="18"/>
      <c r="C77" s="18"/>
      <c r="D77" s="18"/>
      <c r="E77" s="18"/>
      <c r="F77" s="12"/>
      <c r="G77" s="12"/>
      <c r="H77" s="12"/>
      <c r="I77" s="18"/>
      <c r="J77" s="18"/>
      <c r="K77" s="18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2"/>
      <c r="G78" s="12"/>
      <c r="H78" s="12"/>
      <c r="I78" s="18"/>
      <c r="J78" s="18"/>
      <c r="K78" s="18"/>
    </row>
    <row r="79" customFormat="false" ht="15" hidden="false" customHeight="false" outlineLevel="0" collapsed="false">
      <c r="A79" s="18"/>
      <c r="B79" s="18"/>
      <c r="C79" s="18"/>
      <c r="D79" s="18"/>
      <c r="E79" s="18"/>
      <c r="F79" s="12"/>
      <c r="G79" s="12"/>
      <c r="H79" s="12"/>
      <c r="I79" s="18"/>
      <c r="J79" s="18"/>
      <c r="K79" s="18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2"/>
      <c r="G80" s="12"/>
      <c r="H80" s="12"/>
      <c r="I80" s="18"/>
      <c r="J80" s="18"/>
      <c r="K80" s="18"/>
    </row>
    <row r="81" customFormat="false" ht="15" hidden="false" customHeight="false" outlineLevel="0" collapsed="false">
      <c r="A81" s="18"/>
      <c r="B81" s="18"/>
      <c r="C81" s="18"/>
      <c r="D81" s="18"/>
      <c r="E81" s="18"/>
      <c r="F81" s="12"/>
      <c r="G81" s="12"/>
      <c r="H81" s="12"/>
      <c r="I81" s="18"/>
      <c r="J81" s="18"/>
      <c r="K81" s="18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2"/>
      <c r="G82" s="12"/>
      <c r="H82" s="12"/>
      <c r="I82" s="18"/>
      <c r="J82" s="18"/>
      <c r="K82" s="18"/>
    </row>
    <row r="83" customFormat="false" ht="15" hidden="false" customHeight="false" outlineLevel="0" collapsed="false">
      <c r="A83" s="18"/>
      <c r="B83" s="18"/>
      <c r="C83" s="18"/>
      <c r="D83" s="18"/>
      <c r="E83" s="18"/>
      <c r="F83" s="12"/>
      <c r="G83" s="12"/>
      <c r="H83" s="12"/>
      <c r="I83" s="18"/>
      <c r="J83" s="18"/>
      <c r="K83" s="18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2"/>
      <c r="G84" s="12"/>
      <c r="H84" s="12"/>
      <c r="I84" s="18"/>
      <c r="J84" s="18"/>
      <c r="K84" s="18"/>
    </row>
    <row r="85" customFormat="false" ht="15" hidden="false" customHeight="false" outlineLevel="0" collapsed="false">
      <c r="A85" s="18"/>
      <c r="B85" s="18"/>
      <c r="C85" s="18"/>
      <c r="D85" s="18"/>
      <c r="E85" s="18"/>
      <c r="F85" s="12"/>
      <c r="G85" s="12"/>
      <c r="H85" s="12"/>
      <c r="I85" s="18"/>
      <c r="J85" s="18"/>
      <c r="K85" s="18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2"/>
      <c r="G86" s="12"/>
      <c r="H86" s="12"/>
      <c r="I86" s="18"/>
      <c r="J86" s="18"/>
      <c r="K86" s="18"/>
    </row>
    <row r="87" customFormat="false" ht="15" hidden="false" customHeight="false" outlineLevel="0" collapsed="false">
      <c r="A87" s="18"/>
      <c r="B87" s="18"/>
      <c r="C87" s="18"/>
      <c r="D87" s="18"/>
      <c r="E87" s="18"/>
      <c r="F87" s="12"/>
      <c r="G87" s="12"/>
      <c r="H87" s="12"/>
      <c r="I87" s="18"/>
      <c r="J87" s="18"/>
      <c r="K87" s="18"/>
    </row>
    <row r="88" customFormat="false" ht="15" hidden="false" customHeight="false" outlineLevel="0" collapsed="false">
      <c r="A88" s="18"/>
      <c r="B88" s="18"/>
      <c r="C88" s="18"/>
      <c r="D88" s="18"/>
      <c r="E88" s="18"/>
      <c r="F88" s="12"/>
      <c r="G88" s="12"/>
      <c r="H88" s="12"/>
      <c r="I88" s="18"/>
      <c r="J88" s="18"/>
      <c r="K88" s="18"/>
    </row>
    <row r="89" customFormat="false" ht="15" hidden="false" customHeight="false" outlineLevel="0" collapsed="false">
      <c r="A89" s="18"/>
      <c r="B89" s="18"/>
      <c r="C89" s="18"/>
      <c r="D89" s="18"/>
      <c r="E89" s="18"/>
      <c r="F89" s="12"/>
      <c r="G89" s="12"/>
      <c r="H89" s="12"/>
      <c r="I89" s="18"/>
      <c r="J89" s="18"/>
      <c r="K89" s="18"/>
    </row>
    <row r="90" customFormat="false" ht="15" hidden="false" customHeight="false" outlineLevel="0" collapsed="false">
      <c r="A90" s="18"/>
      <c r="B90" s="18"/>
      <c r="C90" s="18"/>
      <c r="D90" s="18"/>
      <c r="E90" s="18"/>
      <c r="F90" s="12"/>
      <c r="G90" s="12"/>
      <c r="H90" s="12"/>
      <c r="I90" s="18"/>
      <c r="J90" s="18"/>
      <c r="K90" s="18"/>
    </row>
    <row r="91" customFormat="false" ht="15" hidden="false" customHeight="false" outlineLevel="0" collapsed="false">
      <c r="A91" s="18"/>
      <c r="B91" s="18"/>
      <c r="C91" s="18"/>
      <c r="D91" s="18"/>
      <c r="E91" s="18"/>
      <c r="F91" s="12"/>
      <c r="G91" s="12"/>
      <c r="H91" s="12"/>
      <c r="I91" s="18"/>
      <c r="J91" s="18"/>
      <c r="K91" s="18"/>
    </row>
    <row r="92" customFormat="false" ht="15" hidden="false" customHeight="false" outlineLevel="0" collapsed="false">
      <c r="A92" s="18"/>
      <c r="B92" s="18"/>
      <c r="C92" s="18"/>
      <c r="D92" s="18"/>
      <c r="E92" s="18"/>
      <c r="F92" s="12"/>
      <c r="G92" s="12"/>
      <c r="H92" s="12"/>
      <c r="I92" s="18"/>
      <c r="J92" s="18"/>
      <c r="K92" s="18"/>
    </row>
    <row r="93" customFormat="false" ht="15" hidden="false" customHeight="false" outlineLevel="0" collapsed="false">
      <c r="A93" s="18"/>
      <c r="B93" s="18"/>
      <c r="C93" s="18"/>
      <c r="D93" s="18"/>
      <c r="E93" s="18"/>
      <c r="F93" s="12"/>
      <c r="G93" s="12"/>
      <c r="H93" s="12"/>
      <c r="I93" s="18"/>
      <c r="J93" s="18"/>
      <c r="K93" s="18"/>
    </row>
    <row r="94" customFormat="false" ht="15" hidden="false" customHeight="false" outlineLevel="0" collapsed="false">
      <c r="A94" s="18"/>
      <c r="B94" s="18"/>
      <c r="C94" s="18"/>
      <c r="D94" s="18"/>
      <c r="E94" s="18"/>
      <c r="F94" s="12"/>
      <c r="G94" s="12"/>
      <c r="H94" s="12"/>
      <c r="I94" s="18"/>
      <c r="J94" s="18"/>
      <c r="K94" s="18"/>
    </row>
    <row r="95" customFormat="false" ht="15" hidden="false" customHeight="false" outlineLevel="0" collapsed="false">
      <c r="A95" s="18"/>
      <c r="B95" s="18"/>
      <c r="C95" s="18"/>
      <c r="D95" s="18"/>
      <c r="E95" s="18"/>
      <c r="F95" s="12"/>
      <c r="G95" s="12"/>
      <c r="H95" s="12"/>
      <c r="I95" s="18"/>
      <c r="J95" s="18"/>
      <c r="K95" s="18"/>
    </row>
    <row r="96" customFormat="false" ht="15" hidden="false" customHeight="false" outlineLevel="0" collapsed="false">
      <c r="A96" s="18"/>
      <c r="B96" s="18"/>
      <c r="C96" s="18"/>
      <c r="D96" s="18"/>
      <c r="E96" s="18"/>
      <c r="F96" s="12"/>
      <c r="G96" s="12"/>
      <c r="H96" s="12"/>
      <c r="I96" s="18"/>
      <c r="J96" s="18"/>
      <c r="K96" s="18"/>
    </row>
    <row r="97" customFormat="false" ht="15" hidden="false" customHeight="false" outlineLevel="0" collapsed="false">
      <c r="A97" s="18"/>
      <c r="B97" s="18"/>
      <c r="C97" s="18"/>
      <c r="D97" s="18"/>
      <c r="E97" s="18"/>
      <c r="F97" s="12"/>
      <c r="G97" s="12"/>
      <c r="H97" s="12"/>
      <c r="I97" s="18"/>
      <c r="J97" s="18"/>
      <c r="K97" s="18"/>
    </row>
    <row r="98" customFormat="false" ht="15" hidden="false" customHeight="false" outlineLevel="0" collapsed="false">
      <c r="A98" s="18"/>
      <c r="B98" s="18"/>
      <c r="C98" s="18"/>
      <c r="D98" s="18"/>
      <c r="E98" s="18"/>
      <c r="F98" s="12"/>
      <c r="G98" s="12"/>
      <c r="H98" s="12"/>
      <c r="I98" s="18"/>
      <c r="J98" s="18"/>
      <c r="K98" s="18"/>
    </row>
    <row r="99" customFormat="false" ht="15" hidden="false" customHeight="false" outlineLevel="0" collapsed="false">
      <c r="A99" s="18"/>
      <c r="B99" s="18"/>
      <c r="C99" s="18"/>
      <c r="D99" s="18"/>
      <c r="E99" s="18"/>
      <c r="F99" s="12"/>
      <c r="G99" s="12"/>
      <c r="H99" s="12"/>
      <c r="I99" s="18"/>
      <c r="J99" s="18"/>
      <c r="K99" s="18"/>
    </row>
    <row r="100" customFormat="false" ht="15" hidden="false" customHeight="false" outlineLevel="0" collapsed="false">
      <c r="A100" s="18"/>
      <c r="B100" s="18"/>
      <c r="C100" s="18"/>
      <c r="D100" s="18"/>
      <c r="E100" s="18"/>
      <c r="F100" s="12"/>
      <c r="G100" s="12"/>
      <c r="H100" s="12"/>
      <c r="I100" s="18"/>
      <c r="J100" s="18"/>
      <c r="K100" s="18"/>
    </row>
    <row r="101" customFormat="false" ht="15" hidden="false" customHeight="false" outlineLevel="0" collapsed="false">
      <c r="A101" s="18"/>
      <c r="B101" s="18"/>
      <c r="C101" s="18"/>
      <c r="D101" s="18"/>
      <c r="E101" s="18"/>
      <c r="F101" s="12"/>
      <c r="G101" s="12"/>
      <c r="H101" s="12"/>
      <c r="I101" s="18"/>
      <c r="J101" s="18"/>
      <c r="K101" s="18"/>
    </row>
    <row r="102" customFormat="false" ht="15" hidden="false" customHeight="false" outlineLevel="0" collapsed="false">
      <c r="A102" s="18"/>
      <c r="B102" s="18"/>
      <c r="C102" s="18"/>
      <c r="D102" s="18"/>
      <c r="E102" s="18"/>
      <c r="F102" s="12"/>
      <c r="G102" s="12"/>
      <c r="H102" s="12"/>
      <c r="I102" s="18"/>
      <c r="J102" s="18"/>
      <c r="K102" s="18"/>
    </row>
    <row r="103" customFormat="false" ht="15" hidden="false" customHeight="false" outlineLevel="0" collapsed="false">
      <c r="A103" s="18"/>
      <c r="B103" s="18"/>
      <c r="C103" s="18"/>
      <c r="D103" s="18"/>
      <c r="E103" s="18"/>
      <c r="F103" s="12"/>
      <c r="G103" s="12"/>
      <c r="H103" s="12"/>
      <c r="I103" s="18"/>
      <c r="J103" s="18"/>
      <c r="K103" s="18"/>
    </row>
    <row r="104" customFormat="false" ht="15" hidden="false" customHeight="false" outlineLevel="0" collapsed="false">
      <c r="A104" s="18"/>
      <c r="B104" s="18"/>
      <c r="C104" s="18"/>
      <c r="D104" s="18"/>
      <c r="E104" s="18"/>
      <c r="F104" s="12"/>
      <c r="G104" s="12"/>
      <c r="H104" s="12"/>
      <c r="I104" s="18"/>
      <c r="J104" s="18"/>
      <c r="K104" s="18"/>
    </row>
    <row r="105" customFormat="false" ht="15" hidden="false" customHeight="false" outlineLevel="0" collapsed="false">
      <c r="A105" s="18"/>
      <c r="B105" s="18"/>
      <c r="C105" s="18"/>
      <c r="D105" s="18"/>
      <c r="E105" s="18"/>
      <c r="F105" s="12"/>
      <c r="G105" s="12"/>
      <c r="H105" s="12"/>
      <c r="I105" s="18"/>
      <c r="J105" s="18"/>
      <c r="K105" s="18"/>
    </row>
    <row r="106" customFormat="false" ht="15" hidden="false" customHeight="false" outlineLevel="0" collapsed="false">
      <c r="A106" s="18"/>
      <c r="B106" s="18"/>
      <c r="C106" s="18"/>
      <c r="D106" s="18"/>
      <c r="E106" s="18"/>
      <c r="F106" s="12"/>
      <c r="G106" s="12"/>
      <c r="H106" s="12"/>
      <c r="I106" s="18"/>
      <c r="J106" s="18"/>
      <c r="K106" s="18"/>
    </row>
    <row r="107" customFormat="false" ht="15" hidden="false" customHeight="false" outlineLevel="0" collapsed="false">
      <c r="A107" s="18"/>
      <c r="B107" s="18"/>
      <c r="C107" s="18"/>
      <c r="D107" s="18"/>
      <c r="E107" s="18"/>
      <c r="F107" s="12"/>
      <c r="G107" s="12"/>
      <c r="H107" s="12"/>
      <c r="I107" s="18"/>
      <c r="J107" s="18"/>
      <c r="K107" s="18"/>
    </row>
    <row r="108" customFormat="false" ht="15" hidden="false" customHeight="false" outlineLevel="0" collapsed="false">
      <c r="A108" s="18"/>
      <c r="B108" s="18"/>
      <c r="C108" s="18"/>
      <c r="D108" s="18"/>
      <c r="E108" s="18"/>
      <c r="F108" s="12"/>
      <c r="G108" s="12"/>
      <c r="H108" s="12"/>
      <c r="I108" s="18"/>
      <c r="J108" s="18"/>
      <c r="K108" s="18"/>
    </row>
    <row r="109" customFormat="false" ht="15" hidden="false" customHeight="false" outlineLevel="0" collapsed="false">
      <c r="A109" s="18"/>
      <c r="B109" s="18"/>
      <c r="C109" s="18"/>
      <c r="D109" s="18"/>
      <c r="E109" s="18"/>
      <c r="F109" s="12"/>
      <c r="G109" s="12"/>
      <c r="H109" s="12"/>
      <c r="I109" s="18"/>
      <c r="J109" s="18"/>
      <c r="K109" s="18"/>
    </row>
    <row r="110" customFormat="false" ht="15" hidden="false" customHeight="false" outlineLevel="0" collapsed="false">
      <c r="A110" s="18"/>
      <c r="B110" s="18"/>
      <c r="C110" s="18"/>
      <c r="D110" s="18"/>
      <c r="E110" s="18"/>
      <c r="F110" s="12"/>
      <c r="G110" s="12"/>
      <c r="H110" s="12"/>
      <c r="I110" s="18"/>
      <c r="J110" s="18"/>
      <c r="K110" s="18"/>
    </row>
    <row r="111" customFormat="false" ht="15" hidden="false" customHeight="false" outlineLevel="0" collapsed="false">
      <c r="A111" s="18"/>
      <c r="B111" s="18"/>
      <c r="C111" s="18"/>
      <c r="D111" s="18"/>
      <c r="E111" s="18"/>
      <c r="F111" s="12"/>
      <c r="G111" s="12"/>
      <c r="H111" s="12"/>
      <c r="I111" s="18"/>
      <c r="J111" s="18"/>
      <c r="K111" s="18"/>
    </row>
    <row r="112" customFormat="false" ht="15" hidden="false" customHeight="false" outlineLevel="0" collapsed="false">
      <c r="A112" s="18"/>
      <c r="B112" s="18"/>
      <c r="C112" s="18"/>
      <c r="D112" s="18"/>
      <c r="E112" s="18"/>
      <c r="F112" s="12"/>
      <c r="G112" s="12"/>
      <c r="H112" s="12"/>
      <c r="I112" s="18"/>
      <c r="J112" s="18"/>
      <c r="K112" s="18"/>
    </row>
    <row r="113" customFormat="false" ht="15" hidden="false" customHeight="false" outlineLevel="0" collapsed="false">
      <c r="A113" s="18"/>
      <c r="B113" s="18"/>
      <c r="C113" s="18"/>
      <c r="D113" s="18"/>
      <c r="E113" s="18"/>
      <c r="F113" s="12"/>
      <c r="G113" s="12"/>
      <c r="H113" s="12"/>
      <c r="I113" s="18"/>
      <c r="J113" s="18"/>
      <c r="K113" s="18"/>
    </row>
    <row r="114" customFormat="false" ht="15" hidden="false" customHeight="false" outlineLevel="0" collapsed="false">
      <c r="A114" s="18"/>
      <c r="B114" s="18"/>
      <c r="C114" s="18"/>
      <c r="D114" s="18"/>
      <c r="E114" s="18"/>
      <c r="F114" s="12"/>
      <c r="G114" s="12"/>
      <c r="H114" s="12"/>
      <c r="I114" s="18"/>
      <c r="J114" s="18"/>
      <c r="K114" s="18"/>
    </row>
    <row r="115" customFormat="false" ht="15" hidden="false" customHeight="false" outlineLevel="0" collapsed="false">
      <c r="A115" s="18"/>
      <c r="B115" s="18"/>
      <c r="C115" s="18"/>
      <c r="D115" s="18"/>
      <c r="E115" s="18"/>
      <c r="F115" s="12"/>
      <c r="G115" s="12"/>
      <c r="H115" s="12"/>
      <c r="I115" s="18"/>
      <c r="J115" s="18"/>
      <c r="K115" s="18"/>
    </row>
    <row r="116" customFormat="false" ht="15" hidden="false" customHeight="false" outlineLevel="0" collapsed="false">
      <c r="A116" s="18"/>
      <c r="B116" s="18"/>
      <c r="C116" s="18"/>
      <c r="D116" s="18"/>
      <c r="E116" s="18"/>
      <c r="F116" s="12"/>
      <c r="G116" s="12"/>
      <c r="H116" s="12"/>
      <c r="I116" s="18"/>
      <c r="J116" s="18"/>
      <c r="K116" s="18"/>
    </row>
    <row r="117" customFormat="false" ht="15" hidden="false" customHeight="false" outlineLevel="0" collapsed="false">
      <c r="A117" s="18"/>
      <c r="B117" s="18"/>
      <c r="C117" s="18"/>
      <c r="D117" s="18"/>
      <c r="E117" s="18"/>
      <c r="F117" s="12"/>
      <c r="G117" s="12"/>
      <c r="H117" s="12"/>
      <c r="I117" s="18"/>
      <c r="J117" s="18"/>
      <c r="K117" s="18"/>
    </row>
    <row r="118" customFormat="false" ht="15" hidden="false" customHeight="false" outlineLevel="0" collapsed="false">
      <c r="A118" s="18"/>
      <c r="B118" s="18"/>
      <c r="C118" s="18"/>
      <c r="D118" s="18"/>
      <c r="E118" s="18"/>
      <c r="F118" s="12"/>
      <c r="G118" s="12"/>
      <c r="H118" s="12"/>
      <c r="I118" s="18"/>
      <c r="J118" s="18"/>
      <c r="K118" s="18"/>
    </row>
    <row r="119" customFormat="false" ht="15" hidden="false" customHeight="false" outlineLevel="0" collapsed="false">
      <c r="A119" s="18"/>
      <c r="B119" s="18"/>
      <c r="C119" s="18"/>
      <c r="D119" s="18"/>
      <c r="E119" s="18"/>
      <c r="F119" s="12"/>
      <c r="G119" s="12"/>
      <c r="H119" s="12"/>
      <c r="I119" s="18"/>
      <c r="J119" s="18"/>
      <c r="K119" s="18"/>
    </row>
    <row r="120" customFormat="false" ht="15" hidden="false" customHeight="false" outlineLevel="0" collapsed="false">
      <c r="A120" s="18"/>
      <c r="B120" s="18"/>
      <c r="C120" s="18"/>
      <c r="D120" s="18"/>
      <c r="E120" s="18"/>
      <c r="F120" s="12"/>
      <c r="G120" s="12"/>
      <c r="H120" s="12"/>
      <c r="I120" s="18"/>
      <c r="J120" s="18"/>
      <c r="K120" s="18"/>
    </row>
    <row r="121" customFormat="false" ht="15" hidden="false" customHeight="false" outlineLevel="0" collapsed="false">
      <c r="A121" s="18"/>
      <c r="B121" s="18"/>
      <c r="C121" s="18"/>
      <c r="D121" s="18"/>
      <c r="E121" s="18"/>
      <c r="F121" s="12"/>
      <c r="G121" s="12"/>
      <c r="H121" s="12"/>
      <c r="I121" s="18"/>
      <c r="J121" s="18"/>
      <c r="K121" s="18"/>
    </row>
    <row r="122" customFormat="false" ht="15" hidden="false" customHeight="false" outlineLevel="0" collapsed="false">
      <c r="A122" s="18"/>
      <c r="B122" s="18"/>
      <c r="C122" s="18"/>
      <c r="D122" s="18"/>
      <c r="E122" s="18"/>
      <c r="F122" s="12"/>
      <c r="G122" s="12"/>
      <c r="H122" s="12"/>
      <c r="I122" s="18"/>
      <c r="J122" s="18"/>
      <c r="K122" s="18"/>
    </row>
    <row r="123" customFormat="false" ht="15" hidden="false" customHeight="false" outlineLevel="0" collapsed="false">
      <c r="A123" s="18"/>
      <c r="B123" s="18"/>
      <c r="C123" s="18"/>
      <c r="D123" s="18"/>
      <c r="E123" s="18"/>
      <c r="F123" s="12"/>
      <c r="G123" s="12"/>
      <c r="H123" s="12"/>
      <c r="I123" s="18"/>
      <c r="J123" s="18"/>
      <c r="K123" s="18"/>
    </row>
    <row r="124" customFormat="false" ht="15" hidden="false" customHeight="false" outlineLevel="0" collapsed="false">
      <c r="A124" s="18"/>
      <c r="B124" s="18"/>
      <c r="C124" s="18"/>
      <c r="D124" s="18"/>
      <c r="E124" s="18"/>
      <c r="F124" s="12"/>
      <c r="G124" s="12"/>
      <c r="H124" s="12"/>
      <c r="I124" s="18"/>
      <c r="J124" s="18"/>
      <c r="K124" s="18"/>
    </row>
    <row r="125" customFormat="false" ht="15" hidden="false" customHeight="false" outlineLevel="0" collapsed="false">
      <c r="A125" s="18"/>
      <c r="B125" s="18"/>
      <c r="C125" s="18"/>
      <c r="D125" s="18"/>
      <c r="E125" s="18"/>
      <c r="F125" s="12"/>
      <c r="G125" s="12"/>
      <c r="H125" s="12"/>
      <c r="I125" s="18"/>
      <c r="J125" s="18"/>
      <c r="K125" s="18"/>
    </row>
    <row r="126" customFormat="false" ht="15" hidden="false" customHeight="false" outlineLevel="0" collapsed="false">
      <c r="A126" s="18"/>
      <c r="B126" s="18"/>
      <c r="C126" s="18"/>
      <c r="D126" s="18"/>
      <c r="E126" s="18"/>
      <c r="F126" s="12"/>
      <c r="G126" s="12"/>
      <c r="H126" s="12"/>
      <c r="I126" s="18"/>
      <c r="J126" s="18"/>
      <c r="K126" s="18"/>
    </row>
    <row r="127" customFormat="false" ht="15" hidden="false" customHeight="false" outlineLevel="0" collapsed="false">
      <c r="A127" s="18"/>
      <c r="B127" s="18"/>
      <c r="C127" s="18"/>
      <c r="D127" s="18"/>
      <c r="E127" s="18"/>
      <c r="F127" s="12"/>
      <c r="G127" s="12"/>
      <c r="H127" s="12"/>
      <c r="I127" s="18"/>
      <c r="J127" s="18"/>
      <c r="K127" s="18"/>
    </row>
    <row r="128" customFormat="false" ht="15" hidden="false" customHeight="false" outlineLevel="0" collapsed="false">
      <c r="A128" s="18"/>
      <c r="B128" s="18"/>
      <c r="C128" s="18"/>
      <c r="D128" s="18"/>
      <c r="E128" s="18"/>
      <c r="F128" s="12"/>
      <c r="G128" s="12"/>
      <c r="H128" s="12"/>
      <c r="I128" s="18"/>
      <c r="J128" s="18"/>
      <c r="K128" s="18"/>
    </row>
    <row r="129" customFormat="false" ht="15" hidden="false" customHeight="false" outlineLevel="0" collapsed="false">
      <c r="A129" s="18"/>
      <c r="B129" s="18"/>
      <c r="C129" s="18"/>
      <c r="D129" s="18"/>
      <c r="E129" s="18"/>
      <c r="F129" s="12"/>
      <c r="G129" s="12"/>
      <c r="H129" s="12"/>
      <c r="I129" s="18"/>
      <c r="J129" s="18"/>
      <c r="K129" s="18"/>
    </row>
    <row r="130" customFormat="false" ht="15" hidden="false" customHeight="false" outlineLevel="0" collapsed="false">
      <c r="A130" s="18"/>
      <c r="B130" s="18"/>
      <c r="C130" s="18"/>
      <c r="D130" s="18"/>
      <c r="E130" s="18"/>
      <c r="F130" s="12"/>
      <c r="G130" s="12"/>
      <c r="H130" s="12"/>
      <c r="I130" s="18"/>
      <c r="J130" s="18"/>
      <c r="K130" s="18"/>
    </row>
    <row r="131" customFormat="false" ht="15" hidden="false" customHeight="false" outlineLevel="0" collapsed="false">
      <c r="A131" s="18"/>
      <c r="B131" s="18"/>
      <c r="C131" s="18"/>
      <c r="D131" s="18"/>
      <c r="E131" s="18"/>
      <c r="F131" s="12"/>
      <c r="G131" s="12"/>
      <c r="H131" s="12"/>
      <c r="I131" s="18"/>
      <c r="J131" s="18"/>
      <c r="K131" s="18"/>
    </row>
    <row r="132" customFormat="false" ht="15" hidden="false" customHeight="false" outlineLevel="0" collapsed="false">
      <c r="A132" s="18"/>
      <c r="B132" s="18"/>
      <c r="C132" s="18"/>
      <c r="D132" s="18"/>
      <c r="E132" s="18"/>
      <c r="F132" s="12"/>
      <c r="G132" s="12"/>
      <c r="H132" s="12"/>
      <c r="I132" s="18"/>
      <c r="J132" s="18"/>
      <c r="K132" s="18"/>
    </row>
    <row r="133" customFormat="false" ht="15" hidden="false" customHeight="false" outlineLevel="0" collapsed="false">
      <c r="A133" s="18"/>
      <c r="B133" s="18"/>
      <c r="C133" s="18"/>
      <c r="D133" s="18"/>
      <c r="E133" s="18"/>
      <c r="F133" s="12"/>
      <c r="G133" s="12"/>
      <c r="H133" s="12"/>
      <c r="I133" s="18"/>
      <c r="J133" s="18"/>
      <c r="K133" s="18"/>
    </row>
    <row r="134" customFormat="false" ht="15" hidden="false" customHeight="false" outlineLevel="0" collapsed="false">
      <c r="A134" s="18"/>
      <c r="B134" s="18"/>
      <c r="C134" s="18"/>
      <c r="D134" s="18"/>
      <c r="E134" s="18"/>
      <c r="F134" s="12"/>
      <c r="G134" s="12"/>
      <c r="H134" s="12"/>
      <c r="I134" s="18"/>
      <c r="J134" s="18"/>
      <c r="K134" s="18"/>
    </row>
    <row r="135" customFormat="false" ht="15" hidden="false" customHeight="false" outlineLevel="0" collapsed="false">
      <c r="A135" s="18"/>
      <c r="B135" s="18"/>
      <c r="C135" s="18"/>
      <c r="D135" s="18"/>
      <c r="E135" s="18"/>
      <c r="F135" s="12"/>
      <c r="G135" s="12"/>
      <c r="H135" s="12"/>
      <c r="I135" s="18"/>
      <c r="J135" s="18"/>
      <c r="K135" s="18"/>
    </row>
    <row r="136" customFormat="false" ht="15" hidden="false" customHeight="false" outlineLevel="0" collapsed="false">
      <c r="A136" s="18"/>
      <c r="B136" s="18"/>
      <c r="C136" s="18"/>
      <c r="D136" s="18"/>
      <c r="E136" s="18"/>
      <c r="F136" s="12"/>
      <c r="G136" s="12"/>
      <c r="H136" s="12"/>
      <c r="I136" s="18"/>
      <c r="J136" s="18"/>
      <c r="K136" s="18"/>
    </row>
    <row r="137" customFormat="false" ht="15" hidden="false" customHeight="false" outlineLevel="0" collapsed="false">
      <c r="A137" s="18"/>
      <c r="B137" s="18"/>
      <c r="C137" s="18"/>
      <c r="D137" s="18"/>
      <c r="E137" s="18"/>
      <c r="F137" s="12"/>
      <c r="G137" s="12"/>
      <c r="H137" s="12"/>
      <c r="I137" s="18"/>
      <c r="J137" s="18"/>
      <c r="K137" s="18"/>
    </row>
    <row r="138" customFormat="false" ht="15" hidden="false" customHeight="false" outlineLevel="0" collapsed="false">
      <c r="A138" s="18"/>
      <c r="B138" s="18"/>
      <c r="C138" s="18"/>
      <c r="D138" s="18"/>
      <c r="E138" s="18"/>
      <c r="F138" s="12"/>
      <c r="G138" s="12"/>
      <c r="H138" s="12"/>
      <c r="I138" s="18"/>
      <c r="J138" s="18"/>
      <c r="K138" s="18"/>
    </row>
    <row r="139" customFormat="false" ht="15" hidden="false" customHeight="false" outlineLevel="0" collapsed="false">
      <c r="A139" s="18"/>
      <c r="B139" s="18"/>
      <c r="C139" s="18"/>
      <c r="D139" s="18"/>
      <c r="E139" s="18"/>
      <c r="F139" s="12"/>
      <c r="G139" s="12"/>
      <c r="H139" s="12"/>
      <c r="I139" s="18"/>
      <c r="J139" s="18"/>
      <c r="K139" s="18"/>
    </row>
    <row r="140" customFormat="false" ht="15" hidden="false" customHeight="false" outlineLevel="0" collapsed="false">
      <c r="A140" s="18"/>
      <c r="B140" s="18"/>
      <c r="C140" s="18"/>
      <c r="D140" s="18"/>
      <c r="E140" s="18"/>
      <c r="F140" s="12"/>
      <c r="G140" s="12"/>
      <c r="H140" s="12"/>
      <c r="I140" s="18"/>
      <c r="J140" s="18"/>
      <c r="K140" s="18"/>
    </row>
    <row r="141" customFormat="false" ht="15" hidden="false" customHeight="false" outlineLevel="0" collapsed="false">
      <c r="A141" s="18"/>
      <c r="B141" s="18"/>
      <c r="C141" s="18"/>
      <c r="D141" s="18"/>
      <c r="E141" s="18"/>
      <c r="F141" s="12"/>
      <c r="G141" s="12"/>
      <c r="H141" s="12"/>
      <c r="I141" s="18"/>
      <c r="J141" s="18"/>
      <c r="K141" s="18"/>
    </row>
    <row r="142" customFormat="false" ht="15" hidden="false" customHeight="false" outlineLevel="0" collapsed="false">
      <c r="A142" s="18"/>
      <c r="B142" s="18"/>
      <c r="C142" s="18"/>
      <c r="D142" s="18"/>
      <c r="E142" s="18"/>
      <c r="F142" s="12"/>
      <c r="G142" s="12"/>
      <c r="H142" s="12"/>
      <c r="I142" s="18"/>
      <c r="J142" s="18"/>
      <c r="K142" s="18"/>
    </row>
    <row r="143" customFormat="false" ht="15" hidden="false" customHeight="false" outlineLevel="0" collapsed="false">
      <c r="A143" s="18"/>
      <c r="B143" s="18"/>
      <c r="C143" s="18"/>
      <c r="D143" s="18"/>
      <c r="E143" s="18"/>
      <c r="F143" s="12"/>
      <c r="G143" s="12"/>
      <c r="H143" s="12"/>
      <c r="I143" s="18"/>
      <c r="J143" s="18"/>
      <c r="K143" s="18"/>
    </row>
    <row r="144" customFormat="false" ht="15" hidden="false" customHeight="false" outlineLevel="0" collapsed="false">
      <c r="A144" s="18"/>
      <c r="B144" s="18"/>
      <c r="C144" s="18"/>
      <c r="D144" s="18"/>
      <c r="E144" s="18"/>
      <c r="F144" s="12"/>
      <c r="G144" s="12"/>
      <c r="H144" s="12"/>
      <c r="I144" s="18"/>
      <c r="J144" s="18"/>
      <c r="K144" s="18"/>
    </row>
    <row r="145" customFormat="false" ht="15" hidden="false" customHeight="false" outlineLevel="0" collapsed="false">
      <c r="A145" s="18"/>
      <c r="B145" s="18"/>
      <c r="C145" s="18"/>
      <c r="D145" s="18"/>
      <c r="E145" s="18"/>
      <c r="F145" s="12"/>
      <c r="G145" s="12"/>
      <c r="H145" s="12"/>
      <c r="I145" s="18"/>
      <c r="J145" s="18"/>
      <c r="K145" s="18"/>
    </row>
    <row r="146" customFormat="false" ht="15" hidden="false" customHeight="false" outlineLevel="0" collapsed="false">
      <c r="A146" s="18"/>
      <c r="B146" s="18"/>
      <c r="C146" s="18"/>
      <c r="D146" s="18"/>
      <c r="E146" s="18"/>
      <c r="F146" s="12"/>
      <c r="G146" s="12"/>
      <c r="H146" s="12"/>
      <c r="I146" s="18"/>
      <c r="J146" s="18"/>
      <c r="K146" s="18"/>
    </row>
    <row r="147" customFormat="false" ht="15" hidden="false" customHeight="false" outlineLevel="0" collapsed="false">
      <c r="A147" s="18"/>
      <c r="B147" s="18"/>
      <c r="C147" s="18"/>
      <c r="D147" s="18"/>
      <c r="E147" s="18"/>
      <c r="F147" s="12"/>
      <c r="G147" s="12"/>
      <c r="H147" s="12"/>
      <c r="I147" s="18"/>
      <c r="J147" s="18"/>
      <c r="K147" s="18"/>
    </row>
    <row r="148" customFormat="false" ht="15" hidden="false" customHeight="false" outlineLevel="0" collapsed="false">
      <c r="A148" s="18"/>
      <c r="B148" s="18"/>
      <c r="C148" s="18"/>
      <c r="D148" s="18"/>
      <c r="E148" s="18"/>
      <c r="F148" s="12"/>
      <c r="G148" s="12"/>
      <c r="H148" s="12"/>
      <c r="I148" s="18"/>
      <c r="J148" s="18"/>
      <c r="K148" s="18"/>
    </row>
    <row r="149" customFormat="false" ht="15" hidden="false" customHeight="false" outlineLevel="0" collapsed="false">
      <c r="A149" s="18"/>
      <c r="B149" s="18"/>
      <c r="C149" s="18"/>
      <c r="D149" s="18"/>
      <c r="E149" s="18"/>
      <c r="F149" s="12"/>
      <c r="G149" s="12"/>
      <c r="H149" s="12"/>
      <c r="I149" s="18"/>
      <c r="J149" s="18"/>
      <c r="K149" s="18"/>
    </row>
    <row r="150" customFormat="false" ht="15" hidden="false" customHeight="false" outlineLevel="0" collapsed="false">
      <c r="A150" s="18"/>
      <c r="B150" s="18"/>
      <c r="C150" s="18"/>
      <c r="D150" s="18"/>
      <c r="E150" s="18"/>
      <c r="F150" s="12"/>
      <c r="G150" s="12"/>
      <c r="H150" s="12"/>
      <c r="I150" s="18"/>
      <c r="J150" s="18"/>
      <c r="K150" s="18"/>
    </row>
    <row r="151" customFormat="false" ht="15" hidden="false" customHeight="false" outlineLevel="0" collapsed="false">
      <c r="A151" s="18"/>
      <c r="B151" s="18"/>
      <c r="C151" s="18"/>
      <c r="D151" s="18"/>
      <c r="E151" s="18"/>
      <c r="F151" s="12"/>
      <c r="G151" s="12"/>
      <c r="H151" s="12"/>
      <c r="I151" s="18"/>
      <c r="J151" s="18"/>
      <c r="K151" s="18"/>
    </row>
    <row r="152" customFormat="false" ht="15" hidden="false" customHeight="false" outlineLevel="0" collapsed="false">
      <c r="A152" s="18"/>
      <c r="B152" s="18"/>
      <c r="C152" s="18"/>
      <c r="D152" s="18"/>
      <c r="E152" s="18"/>
      <c r="F152" s="12"/>
      <c r="G152" s="12"/>
      <c r="H152" s="12"/>
      <c r="I152" s="18"/>
      <c r="J152" s="18"/>
      <c r="K152" s="18"/>
    </row>
    <row r="153" customFormat="false" ht="15" hidden="false" customHeight="false" outlineLevel="0" collapsed="false">
      <c r="A153" s="18"/>
      <c r="B153" s="18"/>
      <c r="C153" s="18"/>
      <c r="D153" s="18"/>
      <c r="E153" s="18"/>
      <c r="F153" s="12"/>
      <c r="G153" s="12"/>
      <c r="H153" s="12"/>
      <c r="I153" s="18"/>
      <c r="J153" s="18"/>
      <c r="K153" s="18"/>
    </row>
    <row r="154" customFormat="false" ht="15" hidden="false" customHeight="false" outlineLevel="0" collapsed="false">
      <c r="A154" s="18"/>
      <c r="B154" s="18"/>
      <c r="C154" s="18"/>
      <c r="D154" s="18"/>
      <c r="E154" s="18"/>
      <c r="F154" s="12"/>
      <c r="G154" s="12"/>
      <c r="H154" s="12"/>
      <c r="I154" s="18"/>
      <c r="J154" s="18"/>
      <c r="K154" s="18"/>
    </row>
    <row r="155" customFormat="false" ht="15" hidden="false" customHeight="false" outlineLevel="0" collapsed="false">
      <c r="A155" s="18"/>
      <c r="B155" s="18"/>
      <c r="C155" s="18"/>
      <c r="D155" s="18"/>
      <c r="E155" s="18"/>
      <c r="F155" s="12"/>
      <c r="G155" s="12"/>
      <c r="H155" s="12"/>
      <c r="I155" s="18"/>
      <c r="J155" s="18"/>
      <c r="K155" s="18"/>
    </row>
    <row r="156" customFormat="false" ht="15" hidden="false" customHeight="false" outlineLevel="0" collapsed="false">
      <c r="A156" s="18"/>
      <c r="B156" s="18"/>
      <c r="C156" s="18"/>
      <c r="D156" s="18"/>
      <c r="E156" s="18"/>
      <c r="F156" s="12"/>
      <c r="G156" s="12"/>
      <c r="H156" s="12"/>
      <c r="I156" s="18"/>
      <c r="J156" s="18"/>
      <c r="K156" s="18"/>
    </row>
    <row r="157" customFormat="false" ht="15" hidden="false" customHeight="false" outlineLevel="0" collapsed="false">
      <c r="A157" s="18"/>
      <c r="B157" s="18"/>
      <c r="C157" s="18"/>
      <c r="D157" s="18"/>
      <c r="E157" s="18"/>
      <c r="F157" s="12"/>
      <c r="G157" s="12"/>
      <c r="H157" s="12"/>
      <c r="I157" s="18"/>
      <c r="J157" s="18"/>
      <c r="K157" s="18"/>
    </row>
    <row r="158" customFormat="false" ht="15" hidden="false" customHeight="false" outlineLevel="0" collapsed="false">
      <c r="A158" s="18"/>
      <c r="B158" s="18"/>
      <c r="C158" s="18"/>
      <c r="D158" s="18"/>
      <c r="E158" s="18"/>
      <c r="F158" s="12"/>
      <c r="G158" s="12"/>
      <c r="H158" s="12"/>
      <c r="I158" s="18"/>
      <c r="J158" s="18"/>
      <c r="K158" s="18"/>
    </row>
    <row r="159" customFormat="false" ht="15" hidden="false" customHeight="false" outlineLevel="0" collapsed="false">
      <c r="A159" s="18"/>
      <c r="B159" s="18"/>
      <c r="C159" s="18"/>
      <c r="D159" s="18"/>
      <c r="E159" s="18"/>
      <c r="F159" s="12"/>
      <c r="G159" s="12"/>
      <c r="H159" s="12"/>
      <c r="I159" s="18"/>
      <c r="J159" s="18"/>
      <c r="K159" s="18"/>
    </row>
    <row r="160" customFormat="false" ht="15" hidden="false" customHeight="false" outlineLevel="0" collapsed="false">
      <c r="A160" s="18"/>
      <c r="B160" s="18"/>
      <c r="C160" s="18"/>
      <c r="D160" s="18"/>
      <c r="E160" s="18"/>
      <c r="F160" s="12"/>
      <c r="G160" s="12"/>
      <c r="H160" s="12"/>
      <c r="I160" s="18"/>
      <c r="J160" s="18"/>
      <c r="K160" s="18"/>
    </row>
    <row r="161" customFormat="false" ht="15" hidden="false" customHeight="false" outlineLevel="0" collapsed="false">
      <c r="A161" s="18"/>
      <c r="B161" s="18"/>
      <c r="C161" s="18"/>
      <c r="D161" s="18"/>
      <c r="E161" s="18"/>
      <c r="F161" s="12"/>
      <c r="G161" s="12"/>
      <c r="H161" s="12"/>
      <c r="I161" s="18"/>
      <c r="J161" s="18"/>
      <c r="K161" s="18"/>
    </row>
    <row r="162" customFormat="false" ht="15" hidden="false" customHeight="false" outlineLevel="0" collapsed="false">
      <c r="A162" s="18"/>
      <c r="B162" s="18"/>
      <c r="C162" s="18"/>
      <c r="D162" s="18"/>
      <c r="E162" s="18"/>
      <c r="F162" s="12"/>
      <c r="G162" s="12"/>
      <c r="H162" s="12"/>
      <c r="I162" s="18"/>
      <c r="J162" s="18"/>
      <c r="K162" s="18"/>
    </row>
    <row r="163" customFormat="false" ht="15" hidden="false" customHeight="false" outlineLevel="0" collapsed="false">
      <c r="A163" s="18"/>
      <c r="B163" s="18"/>
      <c r="C163" s="18"/>
      <c r="D163" s="18"/>
      <c r="E163" s="18"/>
      <c r="F163" s="12"/>
      <c r="G163" s="12"/>
      <c r="H163" s="12"/>
      <c r="I163" s="18"/>
      <c r="J163" s="18"/>
      <c r="K163" s="18"/>
    </row>
    <row r="164" customFormat="false" ht="15" hidden="false" customHeight="false" outlineLevel="0" collapsed="false">
      <c r="A164" s="18"/>
      <c r="B164" s="18"/>
      <c r="C164" s="18"/>
      <c r="D164" s="18"/>
      <c r="E164" s="18"/>
      <c r="F164" s="12"/>
      <c r="G164" s="12"/>
      <c r="H164" s="12"/>
      <c r="I164" s="18"/>
      <c r="J164" s="18"/>
      <c r="K164" s="18"/>
    </row>
    <row r="165" customFormat="false" ht="15" hidden="false" customHeight="false" outlineLevel="0" collapsed="false">
      <c r="A165" s="18"/>
      <c r="B165" s="18"/>
      <c r="C165" s="18"/>
      <c r="D165" s="18"/>
      <c r="E165" s="18"/>
      <c r="F165" s="12"/>
      <c r="G165" s="12"/>
      <c r="H165" s="12"/>
      <c r="I165" s="18"/>
      <c r="J165" s="18"/>
      <c r="K165" s="18"/>
    </row>
    <row r="166" customFormat="false" ht="15" hidden="false" customHeight="false" outlineLevel="0" collapsed="false">
      <c r="A166" s="18"/>
      <c r="B166" s="18"/>
      <c r="C166" s="18"/>
      <c r="D166" s="18"/>
      <c r="E166" s="18"/>
      <c r="F166" s="12"/>
      <c r="G166" s="12"/>
      <c r="H166" s="12"/>
      <c r="I166" s="18"/>
      <c r="J166" s="18"/>
      <c r="K166" s="18"/>
    </row>
    <row r="167" customFormat="false" ht="15" hidden="false" customHeight="false" outlineLevel="0" collapsed="false">
      <c r="A167" s="18"/>
      <c r="B167" s="18"/>
      <c r="C167" s="18"/>
      <c r="D167" s="18"/>
      <c r="E167" s="18"/>
      <c r="F167" s="12"/>
      <c r="G167" s="12"/>
      <c r="H167" s="12"/>
      <c r="I167" s="18"/>
      <c r="J167" s="18"/>
      <c r="K167" s="18"/>
    </row>
    <row r="168" customFormat="false" ht="15" hidden="false" customHeight="false" outlineLevel="0" collapsed="false">
      <c r="A168" s="18"/>
      <c r="B168" s="18"/>
      <c r="C168" s="18"/>
      <c r="D168" s="18"/>
      <c r="E168" s="18"/>
      <c r="F168" s="12"/>
      <c r="G168" s="12"/>
      <c r="H168" s="12"/>
      <c r="I168" s="18"/>
      <c r="J168" s="18"/>
      <c r="K168" s="18"/>
    </row>
    <row r="169" customFormat="false" ht="15" hidden="false" customHeight="false" outlineLevel="0" collapsed="false">
      <c r="A169" s="18"/>
      <c r="B169" s="18"/>
      <c r="C169" s="18"/>
      <c r="D169" s="18"/>
      <c r="E169" s="18"/>
      <c r="F169" s="12"/>
      <c r="G169" s="12"/>
      <c r="H169" s="12"/>
      <c r="I169" s="18"/>
      <c r="J169" s="18"/>
      <c r="K169" s="18"/>
    </row>
    <row r="170" customFormat="false" ht="15" hidden="false" customHeight="false" outlineLevel="0" collapsed="false">
      <c r="A170" s="18"/>
      <c r="B170" s="18"/>
      <c r="C170" s="18"/>
      <c r="D170" s="18"/>
      <c r="E170" s="18"/>
      <c r="F170" s="12"/>
      <c r="G170" s="12"/>
      <c r="H170" s="12"/>
      <c r="I170" s="18"/>
      <c r="J170" s="18"/>
      <c r="K170" s="18"/>
    </row>
    <row r="171" customFormat="false" ht="15" hidden="false" customHeight="false" outlineLevel="0" collapsed="false">
      <c r="A171" s="18"/>
      <c r="B171" s="18"/>
      <c r="C171" s="18"/>
      <c r="D171" s="18"/>
      <c r="E171" s="18"/>
      <c r="F171" s="12"/>
      <c r="G171" s="12"/>
      <c r="H171" s="12"/>
      <c r="I171" s="18"/>
      <c r="J171" s="18"/>
      <c r="K171" s="18"/>
    </row>
    <row r="172" customFormat="false" ht="15" hidden="false" customHeight="false" outlineLevel="0" collapsed="false">
      <c r="A172" s="18"/>
      <c r="B172" s="18"/>
      <c r="C172" s="18"/>
      <c r="D172" s="18"/>
      <c r="E172" s="18"/>
      <c r="F172" s="12"/>
      <c r="G172" s="12"/>
      <c r="H172" s="12"/>
      <c r="I172" s="18"/>
      <c r="J172" s="18"/>
      <c r="K172" s="18"/>
    </row>
    <row r="173" customFormat="false" ht="15" hidden="false" customHeight="false" outlineLevel="0" collapsed="false">
      <c r="A173" s="18"/>
      <c r="B173" s="18"/>
      <c r="C173" s="18"/>
      <c r="D173" s="18"/>
      <c r="E173" s="18"/>
      <c r="F173" s="12"/>
      <c r="G173" s="12"/>
      <c r="H173" s="12"/>
      <c r="I173" s="18"/>
      <c r="J173" s="18"/>
      <c r="K173" s="18"/>
    </row>
    <row r="174" customFormat="false" ht="15" hidden="false" customHeight="false" outlineLevel="0" collapsed="false">
      <c r="A174" s="18"/>
      <c r="B174" s="18"/>
      <c r="C174" s="18"/>
      <c r="D174" s="18"/>
      <c r="E174" s="18"/>
      <c r="F174" s="12"/>
      <c r="G174" s="12"/>
      <c r="H174" s="12"/>
      <c r="I174" s="18"/>
      <c r="J174" s="18"/>
      <c r="K174" s="18"/>
    </row>
    <row r="175" customFormat="false" ht="15" hidden="false" customHeight="false" outlineLevel="0" collapsed="false">
      <c r="A175" s="18"/>
      <c r="B175" s="18"/>
      <c r="C175" s="18"/>
      <c r="D175" s="18"/>
      <c r="E175" s="18"/>
      <c r="F175" s="12"/>
      <c r="G175" s="12"/>
      <c r="H175" s="12"/>
      <c r="I175" s="18"/>
      <c r="J175" s="18"/>
      <c r="K175" s="18"/>
    </row>
    <row r="176" customFormat="false" ht="15" hidden="false" customHeight="false" outlineLevel="0" collapsed="false">
      <c r="A176" s="18"/>
      <c r="B176" s="18"/>
      <c r="C176" s="18"/>
      <c r="D176" s="18"/>
      <c r="E176" s="18"/>
      <c r="F176" s="12"/>
      <c r="G176" s="12"/>
      <c r="H176" s="12"/>
      <c r="I176" s="18"/>
      <c r="J176" s="18"/>
      <c r="K176" s="18"/>
    </row>
    <row r="177" customFormat="false" ht="15" hidden="false" customHeight="false" outlineLevel="0" collapsed="false">
      <c r="A177" s="18"/>
      <c r="B177" s="18"/>
      <c r="C177" s="18"/>
      <c r="D177" s="18"/>
      <c r="E177" s="18"/>
      <c r="F177" s="12"/>
      <c r="G177" s="12"/>
      <c r="H177" s="12"/>
      <c r="I177" s="18"/>
      <c r="J177" s="18"/>
      <c r="K177" s="18"/>
    </row>
    <row r="178" customFormat="false" ht="15" hidden="false" customHeight="false" outlineLevel="0" collapsed="false">
      <c r="A178" s="18"/>
      <c r="B178" s="18"/>
      <c r="C178" s="18"/>
      <c r="D178" s="18"/>
      <c r="E178" s="18"/>
      <c r="F178" s="12"/>
      <c r="G178" s="12"/>
      <c r="H178" s="12"/>
      <c r="I178" s="18"/>
      <c r="J178" s="18"/>
      <c r="K178" s="18"/>
    </row>
    <row r="179" customFormat="false" ht="15" hidden="false" customHeight="false" outlineLevel="0" collapsed="false">
      <c r="A179" s="18"/>
      <c r="B179" s="18"/>
      <c r="C179" s="18"/>
      <c r="D179" s="18"/>
      <c r="E179" s="18"/>
      <c r="F179" s="12"/>
      <c r="G179" s="12"/>
      <c r="H179" s="12"/>
      <c r="I179" s="18"/>
      <c r="J179" s="18"/>
      <c r="K179" s="18"/>
    </row>
    <row r="180" customFormat="false" ht="15" hidden="false" customHeight="false" outlineLevel="0" collapsed="false">
      <c r="A180" s="18"/>
      <c r="B180" s="18"/>
      <c r="C180" s="18"/>
      <c r="D180" s="18"/>
      <c r="E180" s="18"/>
      <c r="F180" s="12"/>
      <c r="G180" s="12"/>
      <c r="H180" s="12"/>
      <c r="I180" s="18"/>
      <c r="J180" s="18"/>
      <c r="K180" s="18"/>
    </row>
    <row r="181" customFormat="false" ht="15" hidden="false" customHeight="false" outlineLevel="0" collapsed="false">
      <c r="A181" s="18"/>
      <c r="B181" s="18"/>
      <c r="C181" s="18"/>
      <c r="D181" s="18"/>
      <c r="E181" s="18"/>
      <c r="F181" s="12"/>
      <c r="G181" s="12"/>
      <c r="H181" s="12"/>
      <c r="I181" s="18"/>
      <c r="J181" s="18"/>
      <c r="K181" s="18"/>
    </row>
    <row r="182" customFormat="false" ht="15" hidden="false" customHeight="false" outlineLevel="0" collapsed="false">
      <c r="A182" s="18"/>
      <c r="B182" s="18"/>
      <c r="C182" s="18"/>
      <c r="D182" s="18"/>
      <c r="E182" s="18"/>
      <c r="F182" s="12"/>
      <c r="G182" s="12"/>
      <c r="H182" s="12"/>
      <c r="I182" s="18"/>
      <c r="J182" s="18"/>
      <c r="K182" s="18"/>
    </row>
    <row r="183" customFormat="false" ht="15" hidden="false" customHeight="false" outlineLevel="0" collapsed="false">
      <c r="A183" s="18"/>
      <c r="B183" s="18"/>
      <c r="C183" s="18"/>
      <c r="D183" s="18"/>
      <c r="E183" s="18"/>
      <c r="F183" s="12"/>
      <c r="G183" s="12"/>
      <c r="H183" s="12"/>
      <c r="I183" s="18"/>
      <c r="J183" s="18"/>
      <c r="K183" s="18"/>
    </row>
    <row r="184" customFormat="false" ht="15" hidden="false" customHeight="false" outlineLevel="0" collapsed="false">
      <c r="A184" s="18"/>
      <c r="B184" s="18"/>
      <c r="C184" s="18"/>
      <c r="D184" s="18"/>
      <c r="E184" s="18"/>
      <c r="F184" s="12"/>
      <c r="G184" s="12"/>
      <c r="H184" s="12"/>
      <c r="I184" s="18"/>
      <c r="J184" s="18"/>
      <c r="K184" s="18"/>
    </row>
    <row r="185" customFormat="false" ht="15" hidden="false" customHeight="false" outlineLevel="0" collapsed="false">
      <c r="A185" s="18"/>
      <c r="B185" s="18"/>
      <c r="C185" s="18"/>
      <c r="D185" s="18"/>
      <c r="E185" s="18"/>
      <c r="F185" s="12"/>
      <c r="G185" s="12"/>
      <c r="H185" s="12"/>
      <c r="I185" s="18"/>
      <c r="J185" s="18"/>
      <c r="K185" s="18"/>
    </row>
    <row r="186" customFormat="false" ht="15" hidden="false" customHeight="false" outlineLevel="0" collapsed="false">
      <c r="A186" s="18"/>
      <c r="B186" s="18"/>
      <c r="C186" s="18"/>
      <c r="D186" s="18"/>
      <c r="E186" s="18"/>
      <c r="F186" s="12"/>
      <c r="G186" s="12"/>
      <c r="H186" s="12"/>
      <c r="I186" s="18"/>
      <c r="J186" s="18"/>
      <c r="K186" s="18"/>
    </row>
    <row r="187" customFormat="false" ht="15" hidden="false" customHeight="false" outlineLevel="0" collapsed="false">
      <c r="A187" s="18"/>
      <c r="B187" s="18"/>
      <c r="C187" s="18"/>
      <c r="D187" s="18"/>
      <c r="E187" s="18"/>
      <c r="F187" s="12"/>
      <c r="G187" s="12"/>
      <c r="H187" s="12"/>
      <c r="I187" s="18"/>
      <c r="J187" s="18"/>
      <c r="K187" s="18"/>
    </row>
    <row r="188" customFormat="false" ht="15" hidden="false" customHeight="false" outlineLevel="0" collapsed="false">
      <c r="A188" s="18"/>
      <c r="B188" s="18"/>
      <c r="C188" s="18"/>
      <c r="D188" s="18"/>
      <c r="E188" s="18"/>
      <c r="F188" s="12"/>
      <c r="G188" s="12"/>
      <c r="H188" s="12"/>
      <c r="I188" s="18"/>
      <c r="J188" s="18"/>
      <c r="K188" s="18"/>
    </row>
    <row r="189" customFormat="false" ht="15" hidden="false" customHeight="false" outlineLevel="0" collapsed="false">
      <c r="A189" s="18"/>
      <c r="B189" s="18"/>
      <c r="C189" s="18"/>
      <c r="D189" s="18"/>
      <c r="E189" s="18"/>
      <c r="F189" s="12"/>
      <c r="G189" s="12"/>
      <c r="H189" s="12"/>
      <c r="I189" s="18"/>
      <c r="J189" s="18"/>
      <c r="K189" s="18"/>
    </row>
    <row r="190" customFormat="false" ht="15" hidden="false" customHeight="false" outlineLevel="0" collapsed="false">
      <c r="A190" s="18"/>
      <c r="B190" s="18"/>
      <c r="C190" s="18"/>
      <c r="D190" s="18"/>
      <c r="E190" s="18"/>
      <c r="F190" s="12"/>
      <c r="G190" s="12"/>
      <c r="H190" s="12"/>
      <c r="I190" s="18"/>
      <c r="J190" s="18"/>
      <c r="K190" s="18"/>
    </row>
    <row r="191" customFormat="false" ht="15" hidden="false" customHeight="false" outlineLevel="0" collapsed="false">
      <c r="A191" s="18"/>
      <c r="B191" s="18"/>
      <c r="C191" s="18"/>
      <c r="D191" s="18"/>
      <c r="E191" s="18"/>
      <c r="F191" s="12"/>
      <c r="G191" s="12"/>
      <c r="H191" s="12"/>
      <c r="I191" s="18"/>
      <c r="J191" s="18"/>
      <c r="K191" s="18"/>
    </row>
    <row r="192" customFormat="false" ht="15" hidden="false" customHeight="false" outlineLevel="0" collapsed="false">
      <c r="A192" s="18"/>
      <c r="B192" s="18"/>
      <c r="C192" s="18"/>
      <c r="D192" s="18"/>
      <c r="E192" s="18"/>
      <c r="F192" s="12"/>
      <c r="G192" s="12"/>
      <c r="H192" s="12"/>
      <c r="I192" s="18"/>
      <c r="J192" s="18"/>
      <c r="K192" s="18"/>
    </row>
    <row r="193" customFormat="false" ht="15" hidden="false" customHeight="false" outlineLevel="0" collapsed="false">
      <c r="A193" s="18"/>
      <c r="B193" s="18"/>
      <c r="C193" s="18"/>
      <c r="D193" s="18"/>
      <c r="E193" s="18"/>
      <c r="F193" s="12"/>
      <c r="G193" s="12"/>
      <c r="H193" s="12"/>
      <c r="I193" s="18"/>
      <c r="J193" s="18"/>
      <c r="K193" s="18"/>
    </row>
    <row r="194" customFormat="false" ht="15" hidden="false" customHeight="false" outlineLevel="0" collapsed="false">
      <c r="A194" s="18"/>
      <c r="B194" s="18"/>
      <c r="C194" s="18"/>
      <c r="D194" s="18"/>
      <c r="E194" s="18"/>
      <c r="F194" s="12"/>
      <c r="G194" s="12"/>
      <c r="H194" s="12"/>
      <c r="I194" s="18"/>
      <c r="J194" s="18"/>
      <c r="K194" s="18"/>
    </row>
    <row r="195" customFormat="false" ht="15" hidden="false" customHeight="false" outlineLevel="0" collapsed="false">
      <c r="A195" s="18"/>
      <c r="B195" s="18"/>
      <c r="C195" s="18"/>
      <c r="D195" s="18"/>
      <c r="E195" s="18"/>
      <c r="F195" s="12"/>
      <c r="G195" s="12"/>
      <c r="H195" s="12"/>
      <c r="I195" s="18"/>
      <c r="J195" s="18"/>
      <c r="K195" s="18"/>
    </row>
    <row r="196" customFormat="false" ht="15" hidden="false" customHeight="false" outlineLevel="0" collapsed="false">
      <c r="A196" s="18"/>
      <c r="B196" s="18"/>
      <c r="C196" s="18"/>
      <c r="D196" s="18"/>
      <c r="E196" s="18"/>
      <c r="F196" s="12"/>
      <c r="G196" s="12"/>
      <c r="H196" s="12"/>
      <c r="I196" s="18"/>
      <c r="J196" s="18"/>
      <c r="K196" s="18"/>
    </row>
    <row r="197" customFormat="false" ht="15" hidden="false" customHeight="false" outlineLevel="0" collapsed="false">
      <c r="A197" s="18"/>
      <c r="B197" s="18"/>
      <c r="C197" s="18"/>
      <c r="D197" s="18"/>
      <c r="E197" s="18"/>
      <c r="F197" s="12"/>
      <c r="G197" s="12"/>
      <c r="H197" s="12"/>
      <c r="I197" s="18"/>
      <c r="J197" s="18"/>
      <c r="K197" s="18"/>
    </row>
    <row r="198" customFormat="false" ht="15" hidden="false" customHeight="false" outlineLevel="0" collapsed="false">
      <c r="A198" s="18"/>
      <c r="B198" s="18"/>
      <c r="C198" s="18"/>
      <c r="D198" s="18"/>
      <c r="E198" s="18"/>
      <c r="F198" s="12"/>
      <c r="G198" s="12"/>
      <c r="H198" s="12"/>
      <c r="I198" s="18"/>
      <c r="J198" s="18"/>
      <c r="K198" s="18"/>
    </row>
    <row r="199" customFormat="false" ht="15" hidden="false" customHeight="false" outlineLevel="0" collapsed="false">
      <c r="A199" s="18"/>
      <c r="B199" s="18"/>
      <c r="C199" s="18"/>
      <c r="D199" s="18"/>
      <c r="E199" s="18"/>
      <c r="F199" s="12"/>
      <c r="G199" s="12"/>
      <c r="H199" s="12"/>
      <c r="I199" s="18"/>
      <c r="J199" s="18"/>
      <c r="K199" s="18"/>
    </row>
    <row r="200" customFormat="false" ht="15" hidden="false" customHeight="false" outlineLevel="0" collapsed="false">
      <c r="A200" s="18"/>
      <c r="B200" s="18"/>
      <c r="C200" s="18"/>
      <c r="D200" s="18"/>
      <c r="E200" s="18"/>
      <c r="F200" s="12"/>
      <c r="G200" s="12"/>
      <c r="H200" s="12"/>
      <c r="I200" s="18"/>
      <c r="J200" s="18"/>
      <c r="K200" s="18"/>
    </row>
    <row r="201" customFormat="false" ht="15" hidden="false" customHeight="false" outlineLevel="0" collapsed="false">
      <c r="A201" s="18"/>
      <c r="B201" s="18"/>
      <c r="C201" s="18"/>
      <c r="D201" s="18"/>
      <c r="E201" s="18"/>
      <c r="F201" s="12"/>
      <c r="G201" s="12"/>
      <c r="H201" s="12"/>
      <c r="I201" s="18"/>
      <c r="J201" s="18"/>
      <c r="K201" s="18"/>
    </row>
    <row r="202" customFormat="false" ht="15" hidden="false" customHeight="false" outlineLevel="0" collapsed="false">
      <c r="A202" s="18"/>
      <c r="B202" s="18"/>
      <c r="C202" s="18"/>
      <c r="D202" s="18"/>
      <c r="E202" s="18"/>
      <c r="F202" s="12"/>
      <c r="G202" s="12"/>
      <c r="H202" s="12"/>
      <c r="I202" s="18"/>
      <c r="J202" s="18"/>
      <c r="K202" s="18"/>
    </row>
    <row r="203" customFormat="false" ht="15" hidden="false" customHeight="false" outlineLevel="0" collapsed="false">
      <c r="A203" s="18"/>
      <c r="B203" s="18"/>
      <c r="C203" s="18"/>
      <c r="D203" s="18"/>
      <c r="E203" s="18"/>
      <c r="F203" s="12"/>
      <c r="G203" s="12"/>
      <c r="H203" s="12"/>
      <c r="I203" s="18"/>
      <c r="J203" s="18"/>
      <c r="K203" s="18"/>
    </row>
    <row r="204" customFormat="false" ht="15" hidden="false" customHeight="false" outlineLevel="0" collapsed="false">
      <c r="A204" s="18"/>
      <c r="B204" s="18"/>
      <c r="C204" s="18"/>
      <c r="D204" s="18"/>
      <c r="E204" s="18"/>
      <c r="F204" s="12"/>
      <c r="G204" s="12"/>
      <c r="H204" s="12"/>
      <c r="I204" s="18"/>
      <c r="J204" s="18"/>
      <c r="K204" s="18"/>
    </row>
    <row r="205" customFormat="false" ht="15" hidden="false" customHeight="false" outlineLevel="0" collapsed="false">
      <c r="A205" s="18"/>
      <c r="B205" s="18"/>
      <c r="C205" s="18"/>
      <c r="D205" s="18"/>
      <c r="E205" s="18"/>
      <c r="F205" s="12"/>
      <c r="G205" s="12"/>
      <c r="H205" s="12"/>
      <c r="I205" s="18"/>
      <c r="J205" s="18"/>
      <c r="K205" s="18"/>
    </row>
    <row r="206" customFormat="false" ht="15" hidden="false" customHeight="false" outlineLevel="0" collapsed="false">
      <c r="A206" s="18"/>
      <c r="B206" s="18"/>
      <c r="C206" s="18"/>
      <c r="D206" s="18"/>
      <c r="E206" s="18"/>
      <c r="F206" s="12"/>
      <c r="G206" s="12"/>
      <c r="H206" s="12"/>
      <c r="I206" s="18"/>
      <c r="J206" s="18"/>
      <c r="K206" s="18"/>
    </row>
    <row r="207" customFormat="false" ht="15" hidden="false" customHeight="false" outlineLevel="0" collapsed="false">
      <c r="A207" s="18"/>
      <c r="B207" s="18"/>
      <c r="C207" s="18"/>
      <c r="D207" s="18"/>
      <c r="E207" s="18"/>
      <c r="F207" s="12"/>
      <c r="G207" s="12"/>
      <c r="H207" s="12"/>
      <c r="I207" s="18"/>
      <c r="J207" s="18"/>
      <c r="K207" s="18"/>
    </row>
    <row r="208" customFormat="false" ht="15" hidden="false" customHeight="false" outlineLevel="0" collapsed="false">
      <c r="A208" s="18"/>
      <c r="B208" s="18"/>
      <c r="C208" s="18"/>
      <c r="D208" s="18"/>
      <c r="E208" s="18"/>
      <c r="F208" s="12"/>
      <c r="G208" s="12"/>
      <c r="H208" s="12"/>
      <c r="I208" s="18"/>
      <c r="J208" s="18"/>
      <c r="K208" s="18"/>
    </row>
    <row r="209" customFormat="false" ht="15" hidden="false" customHeight="false" outlineLevel="0" collapsed="false">
      <c r="A209" s="18"/>
      <c r="B209" s="18"/>
      <c r="C209" s="18"/>
      <c r="D209" s="18"/>
      <c r="E209" s="18"/>
      <c r="F209" s="12"/>
      <c r="G209" s="12"/>
      <c r="H209" s="12"/>
      <c r="I209" s="18"/>
      <c r="J209" s="18"/>
      <c r="K209" s="18"/>
    </row>
    <row r="210" customFormat="false" ht="15" hidden="false" customHeight="false" outlineLevel="0" collapsed="false">
      <c r="A210" s="18"/>
      <c r="B210" s="18"/>
      <c r="C210" s="18"/>
      <c r="D210" s="18"/>
      <c r="E210" s="18"/>
      <c r="F210" s="12"/>
      <c r="G210" s="12"/>
      <c r="H210" s="12"/>
      <c r="I210" s="18"/>
      <c r="J210" s="18"/>
      <c r="K210" s="18"/>
    </row>
    <row r="211" customFormat="false" ht="15" hidden="false" customHeight="false" outlineLevel="0" collapsed="false">
      <c r="A211" s="18"/>
      <c r="B211" s="18"/>
      <c r="C211" s="18"/>
      <c r="D211" s="18"/>
      <c r="E211" s="18"/>
      <c r="F211" s="12"/>
      <c r="G211" s="12"/>
      <c r="H211" s="12"/>
      <c r="I211" s="18"/>
      <c r="J211" s="18"/>
      <c r="K211" s="18"/>
    </row>
    <row r="212" customFormat="false" ht="15" hidden="false" customHeight="false" outlineLevel="0" collapsed="false">
      <c r="A212" s="18"/>
      <c r="B212" s="18"/>
      <c r="C212" s="18"/>
      <c r="D212" s="18"/>
      <c r="E212" s="18"/>
      <c r="F212" s="12"/>
      <c r="G212" s="12"/>
      <c r="H212" s="12"/>
      <c r="I212" s="18"/>
      <c r="J212" s="18"/>
      <c r="K212" s="18"/>
    </row>
    <row r="213" customFormat="false" ht="15" hidden="false" customHeight="false" outlineLevel="0" collapsed="false">
      <c r="A213" s="18"/>
      <c r="B213" s="18"/>
      <c r="C213" s="18"/>
      <c r="D213" s="18"/>
      <c r="E213" s="18"/>
      <c r="F213" s="12"/>
      <c r="G213" s="12"/>
      <c r="H213" s="12"/>
      <c r="I213" s="18"/>
      <c r="J213" s="18"/>
      <c r="K213" s="18"/>
    </row>
    <row r="214" customFormat="false" ht="15" hidden="false" customHeight="false" outlineLevel="0" collapsed="false">
      <c r="A214" s="18"/>
      <c r="B214" s="18"/>
      <c r="C214" s="18"/>
      <c r="D214" s="18"/>
      <c r="E214" s="18"/>
      <c r="F214" s="12"/>
      <c r="G214" s="12"/>
      <c r="H214" s="12"/>
      <c r="I214" s="18"/>
      <c r="J214" s="18"/>
      <c r="K214" s="18"/>
    </row>
    <row r="215" customFormat="false" ht="15" hidden="false" customHeight="false" outlineLevel="0" collapsed="false">
      <c r="A215" s="18"/>
      <c r="B215" s="18"/>
      <c r="C215" s="18"/>
      <c r="D215" s="18"/>
      <c r="E215" s="18"/>
      <c r="F215" s="12"/>
      <c r="G215" s="12"/>
      <c r="H215" s="12"/>
      <c r="I215" s="18"/>
      <c r="J215" s="18"/>
      <c r="K215" s="18"/>
    </row>
    <row r="216" customFormat="false" ht="15" hidden="false" customHeight="false" outlineLevel="0" collapsed="false">
      <c r="A216" s="18"/>
      <c r="B216" s="18"/>
      <c r="C216" s="18"/>
      <c r="D216" s="18"/>
      <c r="E216" s="18"/>
      <c r="F216" s="12"/>
      <c r="G216" s="12"/>
      <c r="H216" s="12"/>
      <c r="I216" s="18"/>
      <c r="J216" s="18"/>
      <c r="K216" s="18"/>
    </row>
    <row r="217" customFormat="false" ht="15" hidden="false" customHeight="false" outlineLevel="0" collapsed="false">
      <c r="A217" s="18"/>
      <c r="B217" s="18"/>
      <c r="C217" s="18"/>
      <c r="D217" s="18"/>
      <c r="E217" s="18"/>
      <c r="F217" s="12"/>
      <c r="G217" s="12"/>
      <c r="H217" s="12"/>
      <c r="I217" s="18"/>
      <c r="J217" s="18"/>
      <c r="K217" s="18"/>
    </row>
    <row r="218" customFormat="false" ht="15" hidden="false" customHeight="false" outlineLevel="0" collapsed="false">
      <c r="A218" s="18"/>
      <c r="B218" s="18"/>
      <c r="C218" s="18"/>
      <c r="D218" s="18"/>
      <c r="E218" s="18"/>
      <c r="F218" s="12"/>
      <c r="G218" s="12"/>
      <c r="H218" s="12"/>
      <c r="I218" s="18"/>
      <c r="J218" s="18"/>
      <c r="K218" s="18"/>
    </row>
    <row r="219" customFormat="false" ht="15" hidden="false" customHeight="false" outlineLevel="0" collapsed="false">
      <c r="A219" s="18"/>
      <c r="B219" s="18"/>
      <c r="C219" s="18"/>
      <c r="D219" s="18"/>
      <c r="E219" s="18"/>
      <c r="F219" s="12"/>
      <c r="G219" s="12"/>
      <c r="H219" s="12"/>
      <c r="I219" s="18"/>
      <c r="J219" s="18"/>
      <c r="K219" s="18"/>
    </row>
    <row r="220" customFormat="false" ht="15" hidden="false" customHeight="false" outlineLevel="0" collapsed="false">
      <c r="A220" s="18"/>
      <c r="B220" s="18"/>
      <c r="C220" s="18"/>
      <c r="D220" s="18"/>
      <c r="E220" s="18"/>
      <c r="F220" s="12"/>
      <c r="G220" s="12"/>
      <c r="H220" s="12"/>
      <c r="I220" s="18"/>
      <c r="J220" s="18"/>
      <c r="K220" s="18"/>
    </row>
    <row r="221" customFormat="false" ht="15" hidden="false" customHeight="false" outlineLevel="0" collapsed="false">
      <c r="A221" s="18"/>
      <c r="B221" s="18"/>
      <c r="C221" s="18"/>
      <c r="D221" s="18"/>
      <c r="E221" s="18"/>
      <c r="F221" s="12"/>
      <c r="G221" s="12"/>
      <c r="H221" s="12"/>
      <c r="I221" s="18"/>
      <c r="J221" s="18"/>
      <c r="K221" s="18"/>
    </row>
    <row r="222" customFormat="false" ht="15" hidden="false" customHeight="false" outlineLevel="0" collapsed="false">
      <c r="A222" s="18"/>
      <c r="B222" s="18"/>
      <c r="C222" s="18"/>
      <c r="D222" s="18"/>
      <c r="E222" s="18"/>
      <c r="F222" s="12"/>
      <c r="G222" s="12"/>
      <c r="H222" s="12"/>
      <c r="I222" s="18"/>
      <c r="J222" s="18"/>
      <c r="K222" s="18"/>
    </row>
    <row r="223" customFormat="false" ht="15" hidden="false" customHeight="false" outlineLevel="0" collapsed="false">
      <c r="A223" s="18"/>
      <c r="B223" s="18"/>
      <c r="C223" s="18"/>
      <c r="D223" s="18"/>
      <c r="E223" s="18"/>
      <c r="F223" s="12"/>
      <c r="G223" s="12"/>
      <c r="H223" s="12"/>
      <c r="I223" s="18"/>
      <c r="J223" s="18"/>
      <c r="K223" s="18"/>
    </row>
    <row r="224" customFormat="false" ht="15" hidden="false" customHeight="false" outlineLevel="0" collapsed="false">
      <c r="A224" s="18"/>
      <c r="B224" s="18"/>
      <c r="C224" s="18"/>
      <c r="D224" s="18"/>
      <c r="E224" s="18"/>
      <c r="F224" s="12"/>
      <c r="G224" s="12"/>
      <c r="H224" s="12"/>
      <c r="I224" s="18"/>
      <c r="J224" s="18"/>
      <c r="K224" s="18"/>
    </row>
    <row r="225" customFormat="false" ht="15" hidden="false" customHeight="false" outlineLevel="0" collapsed="false">
      <c r="A225" s="18"/>
      <c r="B225" s="18"/>
      <c r="C225" s="18"/>
      <c r="D225" s="18"/>
      <c r="E225" s="18"/>
      <c r="F225" s="12"/>
      <c r="G225" s="12"/>
      <c r="H225" s="12"/>
      <c r="I225" s="18"/>
      <c r="J225" s="18"/>
      <c r="K225" s="18"/>
    </row>
    <row r="226" customFormat="false" ht="15" hidden="false" customHeight="false" outlineLevel="0" collapsed="false">
      <c r="A226" s="18"/>
      <c r="B226" s="18"/>
      <c r="C226" s="18"/>
      <c r="D226" s="18"/>
      <c r="E226" s="18"/>
      <c r="F226" s="12"/>
      <c r="G226" s="12"/>
      <c r="H226" s="12"/>
      <c r="I226" s="18"/>
      <c r="J226" s="18"/>
      <c r="K226" s="18"/>
    </row>
    <row r="227" customFormat="false" ht="15" hidden="false" customHeight="false" outlineLevel="0" collapsed="false">
      <c r="A227" s="18"/>
      <c r="B227" s="18"/>
      <c r="C227" s="18"/>
      <c r="D227" s="18"/>
      <c r="E227" s="18"/>
      <c r="F227" s="12"/>
      <c r="G227" s="12"/>
      <c r="H227" s="12"/>
      <c r="I227" s="18"/>
      <c r="J227" s="18"/>
      <c r="K227" s="18"/>
    </row>
    <row r="228" customFormat="false" ht="15" hidden="false" customHeight="false" outlineLevel="0" collapsed="false">
      <c r="A228" s="18"/>
      <c r="B228" s="18"/>
      <c r="C228" s="18"/>
      <c r="D228" s="18"/>
      <c r="E228" s="18"/>
      <c r="F228" s="12"/>
      <c r="G228" s="12"/>
      <c r="H228" s="12"/>
      <c r="I228" s="18"/>
      <c r="J228" s="18"/>
      <c r="K228" s="18"/>
    </row>
    <row r="229" customFormat="false" ht="15" hidden="false" customHeight="false" outlineLevel="0" collapsed="false">
      <c r="A229" s="18"/>
      <c r="B229" s="18"/>
      <c r="C229" s="18"/>
      <c r="D229" s="18"/>
      <c r="E229" s="18"/>
      <c r="F229" s="12"/>
      <c r="G229" s="12"/>
      <c r="H229" s="12"/>
      <c r="I229" s="18"/>
      <c r="J229" s="18"/>
      <c r="K229" s="18"/>
    </row>
    <row r="230" customFormat="false" ht="15" hidden="false" customHeight="false" outlineLevel="0" collapsed="false">
      <c r="A230" s="18"/>
      <c r="B230" s="18"/>
      <c r="C230" s="18"/>
      <c r="D230" s="18"/>
      <c r="E230" s="18"/>
      <c r="F230" s="12"/>
      <c r="G230" s="12"/>
      <c r="H230" s="12"/>
      <c r="I230" s="18"/>
      <c r="J230" s="18"/>
      <c r="K230" s="18"/>
    </row>
    <row r="231" customFormat="false" ht="15" hidden="false" customHeight="false" outlineLevel="0" collapsed="false">
      <c r="A231" s="18"/>
      <c r="B231" s="18"/>
      <c r="C231" s="18"/>
      <c r="D231" s="18"/>
      <c r="E231" s="18"/>
      <c r="F231" s="12"/>
      <c r="G231" s="12"/>
      <c r="H231" s="12"/>
      <c r="I231" s="18"/>
      <c r="J231" s="18"/>
      <c r="K231" s="18"/>
    </row>
    <row r="232" customFormat="false" ht="15" hidden="false" customHeight="false" outlineLevel="0" collapsed="false">
      <c r="A232" s="18"/>
      <c r="B232" s="18"/>
      <c r="C232" s="18"/>
      <c r="D232" s="18"/>
      <c r="E232" s="18"/>
      <c r="F232" s="12"/>
      <c r="G232" s="12"/>
      <c r="H232" s="12"/>
      <c r="I232" s="18"/>
      <c r="J232" s="18"/>
      <c r="K232" s="18"/>
    </row>
    <row r="233" customFormat="false" ht="15" hidden="false" customHeight="false" outlineLevel="0" collapsed="false">
      <c r="A233" s="18"/>
      <c r="B233" s="18"/>
      <c r="C233" s="18"/>
      <c r="D233" s="18"/>
      <c r="E233" s="18"/>
      <c r="F233" s="12"/>
      <c r="G233" s="12"/>
      <c r="H233" s="12"/>
      <c r="I233" s="18"/>
      <c r="J233" s="18"/>
      <c r="K233" s="18"/>
    </row>
    <row r="234" customFormat="false" ht="15" hidden="false" customHeight="false" outlineLevel="0" collapsed="false">
      <c r="A234" s="18"/>
      <c r="B234" s="18"/>
      <c r="C234" s="18"/>
      <c r="D234" s="18"/>
      <c r="E234" s="18"/>
      <c r="F234" s="12"/>
      <c r="G234" s="12"/>
      <c r="H234" s="12"/>
      <c r="I234" s="18"/>
      <c r="J234" s="18"/>
      <c r="K234" s="18"/>
    </row>
    <row r="235" customFormat="false" ht="15" hidden="false" customHeight="false" outlineLevel="0" collapsed="false">
      <c r="A235" s="18"/>
      <c r="B235" s="18"/>
      <c r="C235" s="18"/>
      <c r="D235" s="18"/>
      <c r="E235" s="18"/>
      <c r="F235" s="12"/>
      <c r="G235" s="12"/>
      <c r="H235" s="12"/>
      <c r="I235" s="18"/>
      <c r="J235" s="18"/>
      <c r="K235" s="18"/>
    </row>
    <row r="236" customFormat="false" ht="15" hidden="false" customHeight="false" outlineLevel="0" collapsed="false">
      <c r="A236" s="18"/>
      <c r="B236" s="18"/>
      <c r="C236" s="18"/>
      <c r="D236" s="18"/>
      <c r="E236" s="18"/>
      <c r="F236" s="12"/>
      <c r="G236" s="12"/>
      <c r="H236" s="12"/>
      <c r="I236" s="18"/>
      <c r="J236" s="18"/>
      <c r="K236" s="18"/>
    </row>
    <row r="237" customFormat="false" ht="15" hidden="false" customHeight="false" outlineLevel="0" collapsed="false">
      <c r="A237" s="18"/>
      <c r="B237" s="18"/>
      <c r="C237" s="18"/>
      <c r="D237" s="18"/>
      <c r="E237" s="18"/>
      <c r="F237" s="12"/>
      <c r="G237" s="12"/>
      <c r="H237" s="12"/>
      <c r="I237" s="18"/>
      <c r="J237" s="18"/>
      <c r="K237" s="18"/>
    </row>
    <row r="238" customFormat="false" ht="15" hidden="false" customHeight="false" outlineLevel="0" collapsed="false">
      <c r="A238" s="18"/>
      <c r="B238" s="18"/>
      <c r="C238" s="18"/>
      <c r="D238" s="18"/>
      <c r="E238" s="18"/>
      <c r="F238" s="12"/>
      <c r="G238" s="12"/>
      <c r="H238" s="12"/>
      <c r="I238" s="18"/>
      <c r="J238" s="18"/>
      <c r="K238" s="18"/>
    </row>
    <row r="239" customFormat="false" ht="15" hidden="false" customHeight="false" outlineLevel="0" collapsed="false">
      <c r="A239" s="18"/>
      <c r="B239" s="18"/>
      <c r="C239" s="18"/>
      <c r="D239" s="18"/>
      <c r="E239" s="18"/>
      <c r="F239" s="12"/>
      <c r="G239" s="12"/>
      <c r="H239" s="12"/>
      <c r="I239" s="18"/>
      <c r="J239" s="18"/>
      <c r="K239" s="18"/>
    </row>
    <row r="240" customFormat="false" ht="15" hidden="false" customHeight="false" outlineLevel="0" collapsed="false">
      <c r="A240" s="18"/>
      <c r="B240" s="18"/>
      <c r="C240" s="18"/>
      <c r="D240" s="18"/>
      <c r="E240" s="18"/>
      <c r="F240" s="12"/>
      <c r="G240" s="12"/>
      <c r="H240" s="12"/>
      <c r="I240" s="18"/>
      <c r="J240" s="18"/>
      <c r="K240" s="18"/>
    </row>
    <row r="241" customFormat="false" ht="15" hidden="false" customHeight="false" outlineLevel="0" collapsed="false">
      <c r="A241" s="18"/>
      <c r="B241" s="18"/>
      <c r="C241" s="18"/>
      <c r="D241" s="18"/>
      <c r="E241" s="18"/>
      <c r="F241" s="12"/>
      <c r="G241" s="12"/>
      <c r="H241" s="12"/>
      <c r="I241" s="18"/>
      <c r="J241" s="18"/>
      <c r="K241" s="18"/>
    </row>
    <row r="242" customFormat="false" ht="15" hidden="false" customHeight="false" outlineLevel="0" collapsed="false">
      <c r="A242" s="18"/>
      <c r="B242" s="18"/>
      <c r="C242" s="18"/>
      <c r="D242" s="18"/>
      <c r="E242" s="18"/>
      <c r="F242" s="12"/>
      <c r="G242" s="12"/>
      <c r="H242" s="12"/>
      <c r="I242" s="18"/>
      <c r="J242" s="18"/>
      <c r="K242" s="18"/>
    </row>
    <row r="243" customFormat="false" ht="15" hidden="false" customHeight="false" outlineLevel="0" collapsed="false">
      <c r="A243" s="18"/>
      <c r="B243" s="18"/>
      <c r="C243" s="18"/>
      <c r="D243" s="18"/>
      <c r="E243" s="18"/>
      <c r="F243" s="12"/>
      <c r="G243" s="12"/>
      <c r="H243" s="12"/>
      <c r="I243" s="18"/>
      <c r="J243" s="18"/>
      <c r="K243" s="18"/>
    </row>
    <row r="244" customFormat="false" ht="15" hidden="false" customHeight="false" outlineLevel="0" collapsed="false">
      <c r="A244" s="18"/>
      <c r="B244" s="18"/>
      <c r="C244" s="18"/>
      <c r="D244" s="18"/>
      <c r="E244" s="18"/>
      <c r="F244" s="12"/>
      <c r="G244" s="12"/>
      <c r="H244" s="12"/>
      <c r="I244" s="18"/>
      <c r="J244" s="18"/>
      <c r="K244" s="18"/>
    </row>
    <row r="245" customFormat="false" ht="15" hidden="false" customHeight="false" outlineLevel="0" collapsed="false">
      <c r="A245" s="18"/>
      <c r="B245" s="18"/>
      <c r="C245" s="18"/>
      <c r="D245" s="18"/>
      <c r="E245" s="18"/>
      <c r="F245" s="12"/>
      <c r="G245" s="12"/>
      <c r="H245" s="12"/>
      <c r="I245" s="18"/>
      <c r="J245" s="18"/>
      <c r="K245" s="18"/>
    </row>
    <row r="246" customFormat="false" ht="15" hidden="false" customHeight="false" outlineLevel="0" collapsed="false">
      <c r="A246" s="18"/>
      <c r="B246" s="18"/>
      <c r="C246" s="18"/>
      <c r="D246" s="18"/>
      <c r="E246" s="18"/>
      <c r="F246" s="12"/>
      <c r="G246" s="12"/>
      <c r="H246" s="12"/>
      <c r="I246" s="18"/>
      <c r="J246" s="18"/>
      <c r="K246" s="18"/>
    </row>
    <row r="247" customFormat="false" ht="15" hidden="false" customHeight="false" outlineLevel="0" collapsed="false">
      <c r="A247" s="18"/>
      <c r="B247" s="18"/>
      <c r="C247" s="18"/>
      <c r="D247" s="18"/>
      <c r="E247" s="18"/>
      <c r="F247" s="12"/>
      <c r="G247" s="12"/>
      <c r="H247" s="12"/>
      <c r="I247" s="18"/>
      <c r="J247" s="18"/>
      <c r="K247" s="18"/>
    </row>
    <row r="248" customFormat="false" ht="15" hidden="false" customHeight="false" outlineLevel="0" collapsed="false">
      <c r="A248" s="18"/>
      <c r="B248" s="18"/>
      <c r="C248" s="18"/>
      <c r="D248" s="18"/>
      <c r="E248" s="18"/>
      <c r="F248" s="12"/>
      <c r="G248" s="12"/>
      <c r="H248" s="12"/>
      <c r="I248" s="18"/>
      <c r="J248" s="18"/>
      <c r="K248" s="18"/>
    </row>
    <row r="249" customFormat="false" ht="15" hidden="false" customHeight="false" outlineLevel="0" collapsed="false">
      <c r="A249" s="18"/>
      <c r="B249" s="18"/>
      <c r="C249" s="18"/>
      <c r="D249" s="18"/>
      <c r="E249" s="18"/>
      <c r="F249" s="12"/>
      <c r="G249" s="12"/>
      <c r="H249" s="12"/>
      <c r="I249" s="18"/>
      <c r="J249" s="18"/>
      <c r="K249" s="18"/>
    </row>
    <row r="250" customFormat="false" ht="15" hidden="false" customHeight="false" outlineLevel="0" collapsed="false">
      <c r="A250" s="18"/>
      <c r="B250" s="18"/>
      <c r="C250" s="18"/>
      <c r="D250" s="18"/>
      <c r="E250" s="18"/>
      <c r="F250" s="12"/>
      <c r="G250" s="12"/>
      <c r="H250" s="12"/>
      <c r="I250" s="18"/>
      <c r="J250" s="18"/>
      <c r="K250" s="18"/>
    </row>
    <row r="251" customFormat="false" ht="15" hidden="false" customHeight="false" outlineLevel="0" collapsed="false">
      <c r="A251" s="18"/>
      <c r="B251" s="18"/>
      <c r="C251" s="18"/>
      <c r="D251" s="18"/>
      <c r="E251" s="18"/>
      <c r="F251" s="12"/>
      <c r="G251" s="12"/>
      <c r="H251" s="12"/>
      <c r="I251" s="18"/>
      <c r="J251" s="18"/>
      <c r="K251" s="18"/>
    </row>
    <row r="252" customFormat="false" ht="15" hidden="false" customHeight="false" outlineLevel="0" collapsed="false">
      <c r="A252" s="18"/>
      <c r="B252" s="18"/>
      <c r="C252" s="18"/>
      <c r="D252" s="18"/>
      <c r="E252" s="18"/>
      <c r="F252" s="12"/>
      <c r="G252" s="12"/>
      <c r="H252" s="12"/>
      <c r="I252" s="18"/>
      <c r="J252" s="18"/>
      <c r="K252" s="18"/>
    </row>
    <row r="253" customFormat="false" ht="15" hidden="false" customHeight="false" outlineLevel="0" collapsed="false">
      <c r="A253" s="18"/>
      <c r="B253" s="18"/>
      <c r="C253" s="18"/>
      <c r="D253" s="18"/>
      <c r="E253" s="18"/>
      <c r="F253" s="12"/>
      <c r="G253" s="12"/>
      <c r="H253" s="12"/>
      <c r="I253" s="18"/>
      <c r="J253" s="18"/>
      <c r="K253" s="18"/>
    </row>
    <row r="254" customFormat="false" ht="15" hidden="false" customHeight="false" outlineLevel="0" collapsed="false">
      <c r="A254" s="18"/>
      <c r="B254" s="18"/>
      <c r="C254" s="18"/>
      <c r="D254" s="18"/>
      <c r="E254" s="18"/>
      <c r="F254" s="12"/>
      <c r="G254" s="12"/>
      <c r="H254" s="12"/>
      <c r="I254" s="18"/>
      <c r="J254" s="18"/>
      <c r="K254" s="18"/>
    </row>
    <row r="255" customFormat="false" ht="15" hidden="false" customHeight="false" outlineLevel="0" collapsed="false">
      <c r="A255" s="18"/>
      <c r="B255" s="18"/>
      <c r="C255" s="18"/>
      <c r="D255" s="18"/>
      <c r="E255" s="18"/>
      <c r="F255" s="12"/>
      <c r="G255" s="12"/>
      <c r="H255" s="12"/>
      <c r="I255" s="18"/>
      <c r="J255" s="18"/>
      <c r="K255" s="18"/>
    </row>
    <row r="256" customFormat="false" ht="15" hidden="false" customHeight="false" outlineLevel="0" collapsed="false">
      <c r="A256" s="18"/>
      <c r="B256" s="18"/>
      <c r="C256" s="18"/>
      <c r="D256" s="18"/>
      <c r="E256" s="18"/>
      <c r="F256" s="12"/>
      <c r="G256" s="12"/>
      <c r="H256" s="12"/>
      <c r="I256" s="18"/>
      <c r="J256" s="18"/>
      <c r="K256" s="18"/>
    </row>
    <row r="257" customFormat="false" ht="15" hidden="false" customHeight="false" outlineLevel="0" collapsed="false">
      <c r="A257" s="18"/>
      <c r="B257" s="18"/>
      <c r="C257" s="18"/>
      <c r="D257" s="18"/>
      <c r="E257" s="18"/>
      <c r="F257" s="12"/>
      <c r="G257" s="12"/>
      <c r="H257" s="12"/>
      <c r="I257" s="18"/>
      <c r="J257" s="18"/>
      <c r="K257" s="18"/>
    </row>
    <row r="258" customFormat="false" ht="15" hidden="false" customHeight="false" outlineLevel="0" collapsed="false">
      <c r="A258" s="18"/>
      <c r="B258" s="18"/>
      <c r="C258" s="18"/>
      <c r="D258" s="18"/>
      <c r="E258" s="18"/>
      <c r="F258" s="12"/>
      <c r="G258" s="12"/>
      <c r="H258" s="12"/>
      <c r="I258" s="18"/>
      <c r="J258" s="18"/>
      <c r="K258" s="18"/>
    </row>
    <row r="259" customFormat="false" ht="15" hidden="false" customHeight="false" outlineLevel="0" collapsed="false">
      <c r="A259" s="18"/>
      <c r="B259" s="18"/>
      <c r="C259" s="18"/>
      <c r="D259" s="18"/>
      <c r="E259" s="18"/>
      <c r="F259" s="12"/>
      <c r="G259" s="12"/>
      <c r="H259" s="12"/>
      <c r="I259" s="18"/>
      <c r="J259" s="18"/>
      <c r="K259" s="18"/>
    </row>
    <row r="260" customFormat="false" ht="15" hidden="false" customHeight="false" outlineLevel="0" collapsed="false">
      <c r="A260" s="18"/>
      <c r="B260" s="18"/>
      <c r="C260" s="18"/>
      <c r="D260" s="18"/>
      <c r="E260" s="18"/>
      <c r="F260" s="12"/>
      <c r="G260" s="12"/>
      <c r="H260" s="12"/>
      <c r="I260" s="18"/>
      <c r="J260" s="18"/>
      <c r="K260" s="18"/>
    </row>
    <row r="261" customFormat="false" ht="15" hidden="false" customHeight="false" outlineLevel="0" collapsed="false">
      <c r="A261" s="18"/>
      <c r="B261" s="18"/>
      <c r="C261" s="18"/>
      <c r="D261" s="18"/>
      <c r="E261" s="18"/>
      <c r="F261" s="12"/>
      <c r="G261" s="12"/>
      <c r="H261" s="12"/>
      <c r="I261" s="18"/>
      <c r="J261" s="18"/>
      <c r="K261" s="18"/>
    </row>
    <row r="262" customFormat="false" ht="15" hidden="false" customHeight="false" outlineLevel="0" collapsed="false">
      <c r="A262" s="18"/>
      <c r="B262" s="18"/>
      <c r="C262" s="18"/>
      <c r="D262" s="18"/>
      <c r="E262" s="18"/>
      <c r="F262" s="12"/>
      <c r="G262" s="12"/>
      <c r="H262" s="12"/>
      <c r="I262" s="18"/>
      <c r="J262" s="18"/>
      <c r="K262" s="18"/>
    </row>
    <row r="263" customFormat="false" ht="15" hidden="false" customHeight="false" outlineLevel="0" collapsed="false">
      <c r="A263" s="18"/>
      <c r="B263" s="18"/>
      <c r="C263" s="18"/>
      <c r="D263" s="18"/>
      <c r="E263" s="18"/>
      <c r="F263" s="12"/>
      <c r="G263" s="12"/>
      <c r="H263" s="12"/>
      <c r="I263" s="18"/>
      <c r="J263" s="18"/>
      <c r="K263" s="18"/>
    </row>
    <row r="264" customFormat="false" ht="15" hidden="false" customHeight="false" outlineLevel="0" collapsed="false">
      <c r="A264" s="18"/>
      <c r="B264" s="18"/>
      <c r="C264" s="18"/>
      <c r="D264" s="18"/>
      <c r="E264" s="18"/>
      <c r="F264" s="12"/>
      <c r="G264" s="12"/>
      <c r="H264" s="12"/>
      <c r="I264" s="18"/>
      <c r="J264" s="18"/>
      <c r="K264" s="18"/>
    </row>
    <row r="265" customFormat="false" ht="15" hidden="false" customHeight="false" outlineLevel="0" collapsed="false">
      <c r="A265" s="18"/>
      <c r="B265" s="18"/>
      <c r="C265" s="18"/>
      <c r="D265" s="18"/>
      <c r="E265" s="18"/>
      <c r="F265" s="12"/>
      <c r="G265" s="12"/>
      <c r="H265" s="12"/>
      <c r="I265" s="18"/>
      <c r="J265" s="18"/>
      <c r="K265" s="18"/>
    </row>
    <row r="266" customFormat="false" ht="15" hidden="false" customHeight="false" outlineLevel="0" collapsed="false">
      <c r="A266" s="18"/>
      <c r="B266" s="18"/>
      <c r="C266" s="18"/>
      <c r="D266" s="18"/>
      <c r="E266" s="18"/>
      <c r="F266" s="12"/>
      <c r="G266" s="12"/>
      <c r="H266" s="12"/>
      <c r="I266" s="18"/>
      <c r="J266" s="18"/>
      <c r="K266" s="18"/>
    </row>
    <row r="267" customFormat="false" ht="15" hidden="false" customHeight="false" outlineLevel="0" collapsed="false">
      <c r="A267" s="18"/>
      <c r="B267" s="18"/>
      <c r="C267" s="18"/>
      <c r="D267" s="18"/>
      <c r="E267" s="18"/>
      <c r="F267" s="12"/>
      <c r="G267" s="12"/>
      <c r="H267" s="12"/>
      <c r="I267" s="18"/>
      <c r="J267" s="18"/>
      <c r="K267" s="18"/>
    </row>
    <row r="268" customFormat="false" ht="15" hidden="false" customHeight="false" outlineLevel="0" collapsed="false">
      <c r="A268" s="18"/>
      <c r="B268" s="18"/>
      <c r="C268" s="18"/>
      <c r="D268" s="18"/>
      <c r="E268" s="18"/>
      <c r="F268" s="12"/>
      <c r="G268" s="12"/>
      <c r="H268" s="12"/>
      <c r="I268" s="18"/>
      <c r="J268" s="18"/>
      <c r="K268" s="18"/>
    </row>
    <row r="269" customFormat="false" ht="15" hidden="false" customHeight="false" outlineLevel="0" collapsed="false">
      <c r="A269" s="18"/>
      <c r="B269" s="18"/>
      <c r="C269" s="18"/>
      <c r="D269" s="18"/>
      <c r="E269" s="18"/>
      <c r="F269" s="12"/>
      <c r="G269" s="12"/>
      <c r="H269" s="12"/>
      <c r="I269" s="18"/>
      <c r="J269" s="18"/>
      <c r="K269" s="18"/>
    </row>
    <row r="270" customFormat="false" ht="15" hidden="false" customHeight="false" outlineLevel="0" collapsed="false">
      <c r="A270" s="18"/>
      <c r="B270" s="18"/>
      <c r="C270" s="18"/>
      <c r="D270" s="18"/>
      <c r="E270" s="18"/>
      <c r="F270" s="12"/>
      <c r="G270" s="12"/>
      <c r="H270" s="12"/>
      <c r="I270" s="18"/>
      <c r="J270" s="18"/>
      <c r="K270" s="18"/>
    </row>
    <row r="271" customFormat="false" ht="15" hidden="false" customHeight="false" outlineLevel="0" collapsed="false">
      <c r="A271" s="18"/>
      <c r="B271" s="18"/>
      <c r="C271" s="18"/>
      <c r="D271" s="18"/>
      <c r="E271" s="18"/>
      <c r="F271" s="12"/>
      <c r="G271" s="12"/>
      <c r="H271" s="12"/>
      <c r="I271" s="18"/>
      <c r="J271" s="18"/>
      <c r="K271" s="18"/>
    </row>
    <row r="272" customFormat="false" ht="15" hidden="false" customHeight="false" outlineLevel="0" collapsed="false">
      <c r="A272" s="18"/>
      <c r="B272" s="18"/>
      <c r="C272" s="18"/>
      <c r="D272" s="18"/>
      <c r="E272" s="18"/>
      <c r="F272" s="12"/>
      <c r="G272" s="12"/>
      <c r="H272" s="12"/>
      <c r="I272" s="18"/>
      <c r="J272" s="18"/>
      <c r="K272" s="18"/>
    </row>
    <row r="273" customFormat="false" ht="15" hidden="false" customHeight="false" outlineLevel="0" collapsed="false">
      <c r="A273" s="18"/>
      <c r="B273" s="18"/>
      <c r="C273" s="18"/>
      <c r="D273" s="18"/>
      <c r="E273" s="18"/>
      <c r="F273" s="12"/>
      <c r="G273" s="12"/>
      <c r="H273" s="12"/>
      <c r="I273" s="18"/>
      <c r="J273" s="18"/>
      <c r="K273" s="18"/>
    </row>
    <row r="274" customFormat="false" ht="15" hidden="false" customHeight="false" outlineLevel="0" collapsed="false">
      <c r="A274" s="18"/>
      <c r="B274" s="18"/>
      <c r="C274" s="18"/>
      <c r="D274" s="18"/>
      <c r="E274" s="18"/>
      <c r="F274" s="12"/>
      <c r="G274" s="12"/>
      <c r="H274" s="12"/>
      <c r="I274" s="18"/>
      <c r="J274" s="18"/>
      <c r="K274" s="18"/>
    </row>
    <row r="275" customFormat="false" ht="15" hidden="false" customHeight="false" outlineLevel="0" collapsed="false">
      <c r="A275" s="18"/>
      <c r="B275" s="18"/>
      <c r="C275" s="18"/>
      <c r="D275" s="18"/>
      <c r="E275" s="18"/>
      <c r="F275" s="12"/>
      <c r="G275" s="12"/>
      <c r="H275" s="12"/>
      <c r="I275" s="18"/>
      <c r="J275" s="18"/>
      <c r="K275" s="18"/>
    </row>
    <row r="276" customFormat="false" ht="15" hidden="false" customHeight="false" outlineLevel="0" collapsed="false">
      <c r="A276" s="18"/>
      <c r="B276" s="18"/>
      <c r="C276" s="18"/>
      <c r="D276" s="18"/>
      <c r="E276" s="18"/>
      <c r="F276" s="12"/>
      <c r="G276" s="12"/>
      <c r="H276" s="12"/>
      <c r="I276" s="18"/>
      <c r="J276" s="18"/>
      <c r="K276" s="18"/>
    </row>
    <row r="277" customFormat="false" ht="15" hidden="false" customHeight="false" outlineLevel="0" collapsed="false">
      <c r="A277" s="18"/>
      <c r="B277" s="18"/>
      <c r="C277" s="18"/>
      <c r="D277" s="18"/>
      <c r="E277" s="18"/>
      <c r="F277" s="12"/>
      <c r="G277" s="12"/>
      <c r="H277" s="12"/>
      <c r="I277" s="18"/>
      <c r="J277" s="18"/>
      <c r="K277" s="18"/>
    </row>
    <row r="278" customFormat="false" ht="15" hidden="false" customHeight="false" outlineLevel="0" collapsed="false">
      <c r="A278" s="18"/>
      <c r="B278" s="18"/>
      <c r="C278" s="18"/>
      <c r="D278" s="18"/>
      <c r="E278" s="18"/>
      <c r="F278" s="12"/>
      <c r="G278" s="12"/>
      <c r="H278" s="12"/>
      <c r="I278" s="18"/>
      <c r="J278" s="18"/>
      <c r="K278" s="18"/>
    </row>
    <row r="279" customFormat="false" ht="15" hidden="false" customHeight="false" outlineLevel="0" collapsed="false">
      <c r="A279" s="18"/>
      <c r="B279" s="18"/>
      <c r="C279" s="18"/>
      <c r="D279" s="18"/>
      <c r="E279" s="18"/>
      <c r="F279" s="12"/>
      <c r="G279" s="12"/>
      <c r="H279" s="12"/>
      <c r="I279" s="18"/>
      <c r="J279" s="18"/>
      <c r="K279" s="18"/>
    </row>
    <row r="280" customFormat="false" ht="15" hidden="false" customHeight="false" outlineLevel="0" collapsed="false">
      <c r="A280" s="18"/>
      <c r="B280" s="18"/>
      <c r="C280" s="18"/>
      <c r="D280" s="18"/>
      <c r="E280" s="18"/>
      <c r="F280" s="12"/>
      <c r="G280" s="12"/>
      <c r="H280" s="12"/>
      <c r="I280" s="18"/>
      <c r="J280" s="18"/>
      <c r="K280" s="18"/>
    </row>
    <row r="281" customFormat="false" ht="15" hidden="false" customHeight="false" outlineLevel="0" collapsed="false">
      <c r="A281" s="18"/>
      <c r="B281" s="18"/>
      <c r="C281" s="18"/>
      <c r="D281" s="18"/>
      <c r="E281" s="18"/>
      <c r="F281" s="12"/>
      <c r="G281" s="12"/>
      <c r="H281" s="12"/>
      <c r="I281" s="18"/>
      <c r="J281" s="18"/>
      <c r="K281" s="18"/>
    </row>
    <row r="282" customFormat="false" ht="15" hidden="false" customHeight="false" outlineLevel="0" collapsed="false">
      <c r="A282" s="18"/>
      <c r="B282" s="18"/>
      <c r="C282" s="18"/>
      <c r="D282" s="18"/>
      <c r="E282" s="18"/>
      <c r="F282" s="12"/>
      <c r="G282" s="12"/>
      <c r="H282" s="12"/>
      <c r="I282" s="18"/>
      <c r="J282" s="18"/>
      <c r="K282" s="18"/>
    </row>
    <row r="283" customFormat="false" ht="15" hidden="false" customHeight="false" outlineLevel="0" collapsed="false">
      <c r="A283" s="18"/>
      <c r="B283" s="18"/>
      <c r="C283" s="18"/>
      <c r="D283" s="18"/>
      <c r="E283" s="18"/>
      <c r="F283" s="12"/>
      <c r="G283" s="12"/>
      <c r="H283" s="12"/>
      <c r="I283" s="18"/>
      <c r="J283" s="18"/>
      <c r="K283" s="18"/>
    </row>
    <row r="284" customFormat="false" ht="15" hidden="false" customHeight="false" outlineLevel="0" collapsed="false">
      <c r="A284" s="18"/>
      <c r="B284" s="18"/>
      <c r="C284" s="18"/>
      <c r="D284" s="18"/>
      <c r="E284" s="18"/>
      <c r="F284" s="12"/>
      <c r="G284" s="12"/>
      <c r="H284" s="12"/>
      <c r="I284" s="18"/>
      <c r="J284" s="18"/>
      <c r="K284" s="18"/>
    </row>
    <row r="285" customFormat="false" ht="15" hidden="false" customHeight="false" outlineLevel="0" collapsed="false">
      <c r="A285" s="18"/>
      <c r="B285" s="18"/>
      <c r="C285" s="18"/>
      <c r="D285" s="18"/>
      <c r="E285" s="18"/>
      <c r="F285" s="12"/>
      <c r="G285" s="12"/>
      <c r="H285" s="12"/>
      <c r="I285" s="18"/>
      <c r="J285" s="18"/>
      <c r="K285" s="18"/>
    </row>
    <row r="286" customFormat="false" ht="15" hidden="false" customHeight="false" outlineLevel="0" collapsed="false">
      <c r="A286" s="18"/>
      <c r="B286" s="18"/>
      <c r="C286" s="18"/>
      <c r="D286" s="18"/>
      <c r="E286" s="18"/>
      <c r="F286" s="12"/>
      <c r="G286" s="12"/>
      <c r="H286" s="12"/>
      <c r="I286" s="18"/>
      <c r="J286" s="18"/>
      <c r="K286" s="18"/>
    </row>
    <row r="287" customFormat="false" ht="15" hidden="false" customHeight="false" outlineLevel="0" collapsed="false">
      <c r="A287" s="18"/>
      <c r="B287" s="18"/>
      <c r="C287" s="18"/>
      <c r="D287" s="18"/>
      <c r="E287" s="18"/>
      <c r="F287" s="12"/>
      <c r="G287" s="12"/>
      <c r="H287" s="12"/>
      <c r="I287" s="18"/>
      <c r="J287" s="18"/>
      <c r="K287" s="18"/>
    </row>
    <row r="288" customFormat="false" ht="15" hidden="false" customHeight="false" outlineLevel="0" collapsed="false">
      <c r="A288" s="18"/>
      <c r="B288" s="18"/>
      <c r="C288" s="18"/>
      <c r="D288" s="18"/>
      <c r="E288" s="18"/>
      <c r="F288" s="12"/>
      <c r="G288" s="12"/>
      <c r="H288" s="12"/>
      <c r="I288" s="18"/>
      <c r="J288" s="18"/>
      <c r="K288" s="18"/>
    </row>
    <row r="289" customFormat="false" ht="15" hidden="false" customHeight="false" outlineLevel="0" collapsed="false">
      <c r="A289" s="18"/>
      <c r="B289" s="18"/>
      <c r="C289" s="18"/>
      <c r="D289" s="18"/>
      <c r="E289" s="18"/>
      <c r="F289" s="12"/>
      <c r="G289" s="12"/>
      <c r="H289" s="12"/>
      <c r="I289" s="18"/>
      <c r="J289" s="18"/>
      <c r="K289" s="18"/>
    </row>
    <row r="290" customFormat="false" ht="15" hidden="false" customHeight="false" outlineLevel="0" collapsed="false">
      <c r="A290" s="18"/>
      <c r="B290" s="18"/>
      <c r="C290" s="18"/>
      <c r="D290" s="18"/>
      <c r="E290" s="18"/>
      <c r="F290" s="12"/>
      <c r="G290" s="12"/>
      <c r="H290" s="12"/>
      <c r="I290" s="18"/>
      <c r="J290" s="18"/>
      <c r="K290" s="18"/>
    </row>
    <row r="291" customFormat="false" ht="15" hidden="false" customHeight="false" outlineLevel="0" collapsed="false">
      <c r="A291" s="18"/>
      <c r="B291" s="18"/>
      <c r="C291" s="18"/>
      <c r="D291" s="18"/>
      <c r="E291" s="18"/>
      <c r="F291" s="12"/>
      <c r="G291" s="12"/>
      <c r="H291" s="12"/>
      <c r="I291" s="18"/>
      <c r="J291" s="18"/>
      <c r="K291" s="18"/>
    </row>
    <row r="292" customFormat="false" ht="15" hidden="false" customHeight="false" outlineLevel="0" collapsed="false">
      <c r="A292" s="18"/>
      <c r="B292" s="18"/>
      <c r="C292" s="18"/>
      <c r="D292" s="18"/>
      <c r="E292" s="18"/>
      <c r="F292" s="12"/>
      <c r="G292" s="12"/>
      <c r="H292" s="12"/>
      <c r="I292" s="18"/>
      <c r="J292" s="18"/>
      <c r="K292" s="18"/>
    </row>
    <row r="293" customFormat="false" ht="15" hidden="false" customHeight="false" outlineLevel="0" collapsed="false">
      <c r="A293" s="18"/>
      <c r="B293" s="18"/>
      <c r="C293" s="18"/>
      <c r="D293" s="18"/>
      <c r="E293" s="18"/>
      <c r="F293" s="12"/>
      <c r="G293" s="12"/>
      <c r="H293" s="12"/>
      <c r="I293" s="18"/>
      <c r="J293" s="18"/>
      <c r="K293" s="18"/>
    </row>
    <row r="294" customFormat="false" ht="15" hidden="false" customHeight="false" outlineLevel="0" collapsed="false">
      <c r="A294" s="18"/>
      <c r="B294" s="18"/>
      <c r="C294" s="18"/>
      <c r="D294" s="18"/>
      <c r="E294" s="18"/>
      <c r="F294" s="12"/>
      <c r="G294" s="12"/>
      <c r="H294" s="12"/>
      <c r="I294" s="18"/>
      <c r="J294" s="18"/>
      <c r="K294" s="18"/>
    </row>
    <row r="295" customFormat="false" ht="15" hidden="false" customHeight="false" outlineLevel="0" collapsed="false">
      <c r="A295" s="18"/>
      <c r="B295" s="18"/>
      <c r="C295" s="18"/>
      <c r="D295" s="18"/>
      <c r="E295" s="18"/>
      <c r="F295" s="12"/>
      <c r="G295" s="12"/>
      <c r="H295" s="12"/>
      <c r="I295" s="18"/>
      <c r="J295" s="18"/>
      <c r="K295" s="18"/>
    </row>
    <row r="296" customFormat="false" ht="15" hidden="false" customHeight="false" outlineLevel="0" collapsed="false">
      <c r="A296" s="18"/>
      <c r="B296" s="18"/>
      <c r="C296" s="18"/>
      <c r="D296" s="18"/>
      <c r="E296" s="18"/>
      <c r="F296" s="12"/>
      <c r="G296" s="12"/>
      <c r="H296" s="12"/>
      <c r="I296" s="18"/>
      <c r="J296" s="18"/>
      <c r="K296" s="18"/>
    </row>
    <row r="297" customFormat="false" ht="15" hidden="false" customHeight="false" outlineLevel="0" collapsed="false">
      <c r="A297" s="18"/>
      <c r="B297" s="18"/>
      <c r="C297" s="18"/>
      <c r="D297" s="18"/>
      <c r="E297" s="18"/>
      <c r="F297" s="12"/>
      <c r="G297" s="12"/>
      <c r="H297" s="12"/>
      <c r="I297" s="18"/>
      <c r="J297" s="18"/>
      <c r="K297" s="18"/>
    </row>
    <row r="298" customFormat="false" ht="15" hidden="false" customHeight="false" outlineLevel="0" collapsed="false">
      <c r="A298" s="18"/>
      <c r="B298" s="18"/>
      <c r="C298" s="18"/>
      <c r="D298" s="18"/>
      <c r="E298" s="18"/>
      <c r="F298" s="12"/>
      <c r="G298" s="12"/>
      <c r="H298" s="12"/>
      <c r="I298" s="18"/>
      <c r="J298" s="18"/>
      <c r="K298" s="18"/>
    </row>
    <row r="299" customFormat="false" ht="15" hidden="false" customHeight="false" outlineLevel="0" collapsed="false">
      <c r="A299" s="18"/>
      <c r="B299" s="18"/>
      <c r="C299" s="18"/>
      <c r="D299" s="18"/>
      <c r="E299" s="18"/>
      <c r="F299" s="12"/>
      <c r="G299" s="12"/>
      <c r="H299" s="12"/>
      <c r="I299" s="18"/>
      <c r="J299" s="18"/>
      <c r="K299" s="18"/>
    </row>
    <row r="300" customFormat="false" ht="15" hidden="false" customHeight="false" outlineLevel="0" collapsed="false">
      <c r="A300" s="18"/>
      <c r="B300" s="18"/>
      <c r="C300" s="18"/>
      <c r="D300" s="18"/>
      <c r="E300" s="18"/>
      <c r="F300" s="12"/>
      <c r="G300" s="12"/>
      <c r="H300" s="12"/>
      <c r="I300" s="18"/>
      <c r="J300" s="18"/>
      <c r="K300" s="18"/>
    </row>
    <row r="301" customFormat="false" ht="15" hidden="false" customHeight="false" outlineLevel="0" collapsed="false">
      <c r="A301" s="18"/>
      <c r="B301" s="18"/>
      <c r="C301" s="18"/>
      <c r="D301" s="18"/>
      <c r="E301" s="18"/>
      <c r="F301" s="12"/>
      <c r="G301" s="12"/>
      <c r="H301" s="12"/>
      <c r="I301" s="18"/>
      <c r="J301" s="18"/>
      <c r="K301" s="18"/>
    </row>
    <row r="302" customFormat="false" ht="15" hidden="false" customHeight="false" outlineLevel="0" collapsed="false">
      <c r="A302" s="18"/>
      <c r="B302" s="18"/>
      <c r="C302" s="18"/>
      <c r="D302" s="18"/>
      <c r="E302" s="18"/>
      <c r="F302" s="12"/>
      <c r="G302" s="12"/>
      <c r="H302" s="12"/>
      <c r="I302" s="18"/>
      <c r="J302" s="18"/>
      <c r="K302" s="18"/>
    </row>
    <row r="303" customFormat="false" ht="15" hidden="false" customHeight="false" outlineLevel="0" collapsed="false">
      <c r="A303" s="18"/>
      <c r="B303" s="18"/>
      <c r="C303" s="18"/>
      <c r="D303" s="18"/>
      <c r="E303" s="18"/>
      <c r="F303" s="12"/>
      <c r="G303" s="12"/>
      <c r="H303" s="12"/>
      <c r="I303" s="18"/>
      <c r="J303" s="18"/>
      <c r="K303" s="18"/>
    </row>
    <row r="304" customFormat="false" ht="15" hidden="false" customHeight="false" outlineLevel="0" collapsed="false">
      <c r="A304" s="18"/>
      <c r="B304" s="18"/>
      <c r="C304" s="18"/>
      <c r="D304" s="18"/>
      <c r="E304" s="18"/>
      <c r="F304" s="12"/>
      <c r="G304" s="12"/>
      <c r="H304" s="12"/>
      <c r="I304" s="18"/>
      <c r="J304" s="18"/>
      <c r="K304" s="18"/>
    </row>
    <row r="305" customFormat="false" ht="15" hidden="false" customHeight="false" outlineLevel="0" collapsed="false">
      <c r="A305" s="18"/>
      <c r="B305" s="18"/>
      <c r="C305" s="18"/>
      <c r="D305" s="18"/>
      <c r="E305" s="18"/>
      <c r="F305" s="12"/>
      <c r="G305" s="12"/>
      <c r="H305" s="12"/>
      <c r="I305" s="18"/>
      <c r="J305" s="18"/>
      <c r="K305" s="18"/>
    </row>
    <row r="306" customFormat="false" ht="15" hidden="false" customHeight="false" outlineLevel="0" collapsed="false">
      <c r="A306" s="18"/>
      <c r="B306" s="18"/>
      <c r="C306" s="18"/>
      <c r="D306" s="18"/>
      <c r="E306" s="18"/>
      <c r="F306" s="12"/>
      <c r="G306" s="12"/>
      <c r="H306" s="12"/>
      <c r="I306" s="18"/>
      <c r="J306" s="18"/>
      <c r="K306" s="18"/>
    </row>
    <row r="307" customFormat="false" ht="15" hidden="false" customHeight="false" outlineLevel="0" collapsed="false">
      <c r="A307" s="18"/>
      <c r="B307" s="18"/>
      <c r="C307" s="18"/>
      <c r="D307" s="18"/>
      <c r="E307" s="18"/>
      <c r="F307" s="12"/>
      <c r="G307" s="12"/>
      <c r="H307" s="12"/>
      <c r="I307" s="18"/>
      <c r="J307" s="18"/>
      <c r="K307" s="18"/>
    </row>
    <row r="308" customFormat="false" ht="15" hidden="false" customHeight="false" outlineLevel="0" collapsed="false">
      <c r="A308" s="18"/>
      <c r="B308" s="18"/>
      <c r="C308" s="18"/>
      <c r="D308" s="18"/>
      <c r="E308" s="18"/>
      <c r="F308" s="12"/>
      <c r="G308" s="12"/>
      <c r="H308" s="12"/>
      <c r="I308" s="18"/>
      <c r="J308" s="18"/>
      <c r="K308" s="18"/>
    </row>
    <row r="309" customFormat="false" ht="15" hidden="false" customHeight="false" outlineLevel="0" collapsed="false">
      <c r="A309" s="18"/>
      <c r="B309" s="18"/>
      <c r="C309" s="18"/>
      <c r="D309" s="18"/>
      <c r="E309" s="18"/>
      <c r="F309" s="12"/>
      <c r="G309" s="12"/>
      <c r="H309" s="12"/>
      <c r="I309" s="18"/>
      <c r="J309" s="18"/>
      <c r="K309" s="18"/>
    </row>
    <row r="310" customFormat="false" ht="15" hidden="false" customHeight="false" outlineLevel="0" collapsed="false">
      <c r="A310" s="18"/>
      <c r="B310" s="18"/>
      <c r="C310" s="18"/>
      <c r="D310" s="18"/>
      <c r="E310" s="18"/>
      <c r="F310" s="12"/>
      <c r="G310" s="12"/>
      <c r="H310" s="12"/>
      <c r="I310" s="18"/>
      <c r="J310" s="18"/>
      <c r="K310" s="18"/>
    </row>
    <row r="311" customFormat="false" ht="15" hidden="false" customHeight="false" outlineLevel="0" collapsed="false">
      <c r="A311" s="18"/>
      <c r="B311" s="18"/>
      <c r="C311" s="18"/>
      <c r="D311" s="18"/>
      <c r="E311" s="18"/>
      <c r="F311" s="12"/>
      <c r="G311" s="12"/>
      <c r="H311" s="12"/>
      <c r="I311" s="18"/>
      <c r="J311" s="18"/>
      <c r="K311" s="18"/>
    </row>
    <row r="312" customFormat="false" ht="15" hidden="false" customHeight="false" outlineLevel="0" collapsed="false">
      <c r="A312" s="18"/>
      <c r="B312" s="18"/>
      <c r="C312" s="18"/>
      <c r="D312" s="18"/>
      <c r="E312" s="18"/>
      <c r="F312" s="12"/>
      <c r="G312" s="12"/>
      <c r="H312" s="12"/>
      <c r="I312" s="18"/>
      <c r="J312" s="18"/>
      <c r="K312" s="18"/>
    </row>
    <row r="313" customFormat="false" ht="15" hidden="false" customHeight="false" outlineLevel="0" collapsed="false">
      <c r="A313" s="18"/>
      <c r="B313" s="18"/>
      <c r="C313" s="18"/>
      <c r="D313" s="18"/>
      <c r="E313" s="18"/>
      <c r="F313" s="12"/>
      <c r="G313" s="12"/>
      <c r="H313" s="12"/>
      <c r="I313" s="18"/>
      <c r="J313" s="18"/>
      <c r="K313" s="18"/>
    </row>
    <row r="314" customFormat="false" ht="15" hidden="false" customHeight="false" outlineLevel="0" collapsed="false">
      <c r="A314" s="18"/>
      <c r="B314" s="18"/>
      <c r="C314" s="18"/>
      <c r="D314" s="18"/>
      <c r="E314" s="18"/>
      <c r="F314" s="12"/>
      <c r="G314" s="12"/>
      <c r="H314" s="12"/>
      <c r="I314" s="18"/>
      <c r="J314" s="18"/>
      <c r="K314" s="18"/>
    </row>
    <row r="315" customFormat="false" ht="15" hidden="false" customHeight="false" outlineLevel="0" collapsed="false">
      <c r="A315" s="18"/>
      <c r="B315" s="18"/>
      <c r="C315" s="18"/>
      <c r="D315" s="18"/>
      <c r="E315" s="18"/>
      <c r="F315" s="12"/>
      <c r="G315" s="12"/>
      <c r="H315" s="12"/>
      <c r="I315" s="18"/>
      <c r="J315" s="18"/>
      <c r="K315" s="18"/>
    </row>
    <row r="316" customFormat="false" ht="15" hidden="false" customHeight="false" outlineLevel="0" collapsed="false">
      <c r="A316" s="18"/>
      <c r="B316" s="18"/>
      <c r="C316" s="18"/>
      <c r="D316" s="18"/>
      <c r="E316" s="18"/>
      <c r="F316" s="12"/>
      <c r="G316" s="12"/>
      <c r="H316" s="12"/>
      <c r="I316" s="18"/>
      <c r="J316" s="18"/>
      <c r="K316" s="18"/>
    </row>
    <row r="317" customFormat="false" ht="15" hidden="false" customHeight="false" outlineLevel="0" collapsed="false">
      <c r="A317" s="18"/>
      <c r="B317" s="18"/>
      <c r="C317" s="18"/>
      <c r="D317" s="18"/>
      <c r="E317" s="18"/>
      <c r="F317" s="12"/>
      <c r="G317" s="12"/>
      <c r="H317" s="12"/>
      <c r="I317" s="18"/>
      <c r="J317" s="18"/>
      <c r="K317" s="18"/>
    </row>
    <row r="318" customFormat="false" ht="15" hidden="false" customHeight="false" outlineLevel="0" collapsed="false">
      <c r="A318" s="18"/>
      <c r="B318" s="18"/>
      <c r="C318" s="18"/>
      <c r="D318" s="18"/>
      <c r="E318" s="18"/>
      <c r="F318" s="12"/>
      <c r="G318" s="12"/>
      <c r="H318" s="12"/>
      <c r="I318" s="18"/>
      <c r="J318" s="18"/>
      <c r="K318" s="18"/>
    </row>
    <row r="319" customFormat="false" ht="15" hidden="false" customHeight="false" outlineLevel="0" collapsed="false">
      <c r="A319" s="18"/>
      <c r="B319" s="18"/>
      <c r="C319" s="18"/>
      <c r="D319" s="18"/>
      <c r="E319" s="18"/>
      <c r="F319" s="12"/>
      <c r="G319" s="12"/>
      <c r="H319" s="12"/>
      <c r="I319" s="18"/>
      <c r="J319" s="18"/>
      <c r="K319" s="18"/>
    </row>
    <row r="320" customFormat="false" ht="15" hidden="false" customHeight="false" outlineLevel="0" collapsed="false">
      <c r="A320" s="18"/>
      <c r="B320" s="18"/>
      <c r="C320" s="18"/>
      <c r="D320" s="18"/>
      <c r="E320" s="18"/>
      <c r="F320" s="12"/>
      <c r="G320" s="12"/>
      <c r="H320" s="12"/>
      <c r="I320" s="18"/>
      <c r="J320" s="18"/>
      <c r="K320" s="18"/>
    </row>
    <row r="321" customFormat="false" ht="15" hidden="false" customHeight="false" outlineLevel="0" collapsed="false">
      <c r="A321" s="18"/>
      <c r="B321" s="18"/>
      <c r="C321" s="18"/>
      <c r="D321" s="18"/>
      <c r="E321" s="18"/>
      <c r="F321" s="12"/>
      <c r="G321" s="12"/>
      <c r="H321" s="12"/>
      <c r="I321" s="18"/>
      <c r="J321" s="18"/>
      <c r="K321" s="18"/>
    </row>
    <row r="322" customFormat="false" ht="15" hidden="false" customHeight="false" outlineLevel="0" collapsed="false">
      <c r="A322" s="18"/>
      <c r="B322" s="18"/>
      <c r="C322" s="18"/>
      <c r="D322" s="18"/>
      <c r="E322" s="18"/>
      <c r="F322" s="12"/>
      <c r="G322" s="12"/>
      <c r="H322" s="12"/>
      <c r="I322" s="18"/>
      <c r="J322" s="18"/>
      <c r="K322" s="18"/>
    </row>
    <row r="323" customFormat="false" ht="15" hidden="false" customHeight="false" outlineLevel="0" collapsed="false">
      <c r="A323" s="18"/>
      <c r="B323" s="18"/>
      <c r="C323" s="18"/>
      <c r="D323" s="18"/>
      <c r="E323" s="18"/>
      <c r="F323" s="12"/>
      <c r="G323" s="12"/>
      <c r="H323" s="12"/>
      <c r="I323" s="18"/>
      <c r="J323" s="18"/>
      <c r="K323" s="18"/>
    </row>
    <row r="324" customFormat="false" ht="15" hidden="false" customHeight="false" outlineLevel="0" collapsed="false">
      <c r="A324" s="18"/>
      <c r="B324" s="18"/>
      <c r="C324" s="18"/>
      <c r="D324" s="18"/>
      <c r="E324" s="18"/>
      <c r="F324" s="12"/>
      <c r="G324" s="12"/>
      <c r="H324" s="12"/>
      <c r="I324" s="18"/>
      <c r="J324" s="18"/>
      <c r="K324" s="18"/>
    </row>
    <row r="325" customFormat="false" ht="15" hidden="false" customHeight="false" outlineLevel="0" collapsed="false">
      <c r="A325" s="18"/>
      <c r="B325" s="18"/>
      <c r="C325" s="18"/>
      <c r="D325" s="18"/>
      <c r="E325" s="18"/>
      <c r="F325" s="12"/>
      <c r="G325" s="12"/>
      <c r="H325" s="12"/>
      <c r="I325" s="18"/>
      <c r="J325" s="18"/>
      <c r="K325" s="18"/>
    </row>
    <row r="326" customFormat="false" ht="15" hidden="false" customHeight="false" outlineLevel="0" collapsed="false">
      <c r="A326" s="18"/>
      <c r="B326" s="18"/>
      <c r="C326" s="18"/>
      <c r="D326" s="18"/>
      <c r="E326" s="18"/>
      <c r="F326" s="12"/>
      <c r="G326" s="12"/>
      <c r="H326" s="12"/>
      <c r="I326" s="18"/>
      <c r="J326" s="18"/>
      <c r="K326" s="18"/>
    </row>
    <row r="327" customFormat="false" ht="15" hidden="false" customHeight="false" outlineLevel="0" collapsed="false">
      <c r="A327" s="18"/>
      <c r="B327" s="18"/>
      <c r="C327" s="18"/>
      <c r="D327" s="18"/>
      <c r="E327" s="18"/>
      <c r="F327" s="12"/>
      <c r="G327" s="12"/>
      <c r="H327" s="12"/>
      <c r="I327" s="18"/>
      <c r="J327" s="18"/>
      <c r="K327" s="18"/>
    </row>
    <row r="328" customFormat="false" ht="15" hidden="false" customHeight="false" outlineLevel="0" collapsed="false">
      <c r="A328" s="18"/>
      <c r="B328" s="18"/>
      <c r="C328" s="18"/>
      <c r="D328" s="18"/>
      <c r="E328" s="18"/>
      <c r="F328" s="12"/>
      <c r="G328" s="12"/>
      <c r="H328" s="12"/>
      <c r="I328" s="18"/>
      <c r="J328" s="18"/>
      <c r="K328" s="18"/>
    </row>
    <row r="329" customFormat="false" ht="15" hidden="false" customHeight="false" outlineLevel="0" collapsed="false">
      <c r="A329" s="18"/>
      <c r="B329" s="18"/>
      <c r="C329" s="18"/>
      <c r="D329" s="18"/>
      <c r="E329" s="18"/>
      <c r="F329" s="12"/>
      <c r="G329" s="12"/>
      <c r="H329" s="12"/>
      <c r="I329" s="18"/>
      <c r="J329" s="18"/>
      <c r="K329" s="18"/>
    </row>
    <row r="330" customFormat="false" ht="15" hidden="false" customHeight="false" outlineLevel="0" collapsed="false">
      <c r="A330" s="18"/>
      <c r="B330" s="18"/>
      <c r="C330" s="18"/>
      <c r="D330" s="18"/>
      <c r="E330" s="18"/>
      <c r="F330" s="12"/>
      <c r="G330" s="12"/>
      <c r="H330" s="12"/>
      <c r="I330" s="18"/>
      <c r="J330" s="18"/>
      <c r="K330" s="18"/>
    </row>
    <row r="331" customFormat="false" ht="15" hidden="false" customHeight="false" outlineLevel="0" collapsed="false">
      <c r="A331" s="18"/>
      <c r="B331" s="18"/>
      <c r="C331" s="18"/>
      <c r="D331" s="18"/>
      <c r="E331" s="18"/>
      <c r="F331" s="12"/>
      <c r="G331" s="12"/>
      <c r="H331" s="12"/>
      <c r="I331" s="18"/>
      <c r="J331" s="18"/>
      <c r="K331" s="18"/>
    </row>
    <row r="332" customFormat="false" ht="15" hidden="false" customHeight="false" outlineLevel="0" collapsed="false">
      <c r="A332" s="18"/>
      <c r="B332" s="18"/>
      <c r="C332" s="18"/>
      <c r="D332" s="18"/>
      <c r="E332" s="18"/>
      <c r="F332" s="12"/>
      <c r="G332" s="12"/>
      <c r="H332" s="12"/>
      <c r="I332" s="18"/>
      <c r="J332" s="18"/>
      <c r="K332" s="18"/>
    </row>
    <row r="333" customFormat="false" ht="15" hidden="false" customHeight="false" outlineLevel="0" collapsed="false">
      <c r="A333" s="18"/>
      <c r="B333" s="18"/>
      <c r="C333" s="18"/>
      <c r="D333" s="18"/>
      <c r="E333" s="18"/>
      <c r="F333" s="12"/>
      <c r="G333" s="12"/>
      <c r="H333" s="12"/>
      <c r="I333" s="18"/>
      <c r="J333" s="18"/>
      <c r="K333" s="18"/>
    </row>
    <row r="334" customFormat="false" ht="15" hidden="false" customHeight="false" outlineLevel="0" collapsed="false">
      <c r="A334" s="18"/>
      <c r="B334" s="18"/>
      <c r="C334" s="18"/>
      <c r="D334" s="18"/>
      <c r="E334" s="18"/>
      <c r="F334" s="12"/>
      <c r="G334" s="12"/>
      <c r="H334" s="12"/>
      <c r="I334" s="18"/>
      <c r="J334" s="18"/>
      <c r="K334" s="18"/>
    </row>
    <row r="335" customFormat="false" ht="15" hidden="false" customHeight="false" outlineLevel="0" collapsed="false">
      <c r="A335" s="18"/>
      <c r="B335" s="18"/>
      <c r="C335" s="18"/>
      <c r="D335" s="18"/>
      <c r="E335" s="18"/>
      <c r="F335" s="12"/>
      <c r="G335" s="12"/>
      <c r="H335" s="12"/>
      <c r="I335" s="18"/>
      <c r="J335" s="18"/>
      <c r="K335" s="18"/>
    </row>
    <row r="336" customFormat="false" ht="15" hidden="false" customHeight="false" outlineLevel="0" collapsed="false">
      <c r="A336" s="18"/>
      <c r="B336" s="18"/>
      <c r="C336" s="18"/>
      <c r="D336" s="18"/>
      <c r="E336" s="18"/>
      <c r="F336" s="12"/>
      <c r="G336" s="12"/>
      <c r="H336" s="12"/>
      <c r="I336" s="18"/>
      <c r="J336" s="18"/>
      <c r="K336" s="18"/>
    </row>
    <row r="337" customFormat="false" ht="15" hidden="false" customHeight="false" outlineLevel="0" collapsed="false">
      <c r="A337" s="18"/>
      <c r="B337" s="18"/>
      <c r="C337" s="18"/>
      <c r="D337" s="18"/>
      <c r="E337" s="18"/>
      <c r="F337" s="12"/>
      <c r="G337" s="12"/>
      <c r="H337" s="12"/>
      <c r="I337" s="18"/>
      <c r="J337" s="18"/>
      <c r="K337" s="18"/>
    </row>
    <row r="338" customFormat="false" ht="15" hidden="false" customHeight="false" outlineLevel="0" collapsed="false">
      <c r="A338" s="18"/>
      <c r="B338" s="18"/>
      <c r="C338" s="18"/>
      <c r="D338" s="18"/>
      <c r="E338" s="18"/>
      <c r="F338" s="12"/>
      <c r="G338" s="12"/>
      <c r="H338" s="12"/>
      <c r="I338" s="18"/>
      <c r="J338" s="18"/>
      <c r="K338" s="18"/>
    </row>
    <row r="339" customFormat="false" ht="15" hidden="false" customHeight="false" outlineLevel="0" collapsed="false">
      <c r="A339" s="18"/>
      <c r="B339" s="18"/>
      <c r="C339" s="18"/>
      <c r="D339" s="18"/>
      <c r="E339" s="18"/>
      <c r="F339" s="12"/>
      <c r="G339" s="12"/>
      <c r="H339" s="12"/>
      <c r="I339" s="18"/>
      <c r="J339" s="18"/>
      <c r="K339" s="18"/>
    </row>
    <row r="340" customFormat="false" ht="15" hidden="false" customHeight="false" outlineLevel="0" collapsed="false">
      <c r="A340" s="18"/>
      <c r="B340" s="18"/>
      <c r="C340" s="18"/>
      <c r="D340" s="18"/>
      <c r="E340" s="18"/>
      <c r="F340" s="12"/>
      <c r="G340" s="12"/>
      <c r="H340" s="12"/>
      <c r="I340" s="18"/>
      <c r="J340" s="18"/>
      <c r="K340" s="18"/>
    </row>
    <row r="341" customFormat="false" ht="15" hidden="false" customHeight="false" outlineLevel="0" collapsed="false">
      <c r="A341" s="18"/>
      <c r="B341" s="18"/>
      <c r="C341" s="18"/>
      <c r="D341" s="18"/>
      <c r="E341" s="18"/>
      <c r="F341" s="12"/>
      <c r="G341" s="12"/>
      <c r="H341" s="12"/>
      <c r="I341" s="18"/>
      <c r="J341" s="18"/>
      <c r="K341" s="18"/>
    </row>
    <row r="342" customFormat="false" ht="15" hidden="false" customHeight="false" outlineLevel="0" collapsed="false">
      <c r="A342" s="18"/>
      <c r="B342" s="18"/>
      <c r="C342" s="18"/>
      <c r="D342" s="18"/>
      <c r="E342" s="18"/>
      <c r="F342" s="12"/>
      <c r="G342" s="12"/>
      <c r="H342" s="12"/>
      <c r="I342" s="18"/>
      <c r="J342" s="18"/>
      <c r="K342" s="18"/>
    </row>
    <row r="343" customFormat="false" ht="15" hidden="false" customHeight="false" outlineLevel="0" collapsed="false">
      <c r="A343" s="18"/>
      <c r="B343" s="18"/>
      <c r="C343" s="18"/>
      <c r="D343" s="18"/>
      <c r="E343" s="18"/>
      <c r="F343" s="12"/>
      <c r="G343" s="12"/>
      <c r="H343" s="12"/>
      <c r="I343" s="18"/>
      <c r="J343" s="18"/>
      <c r="K343" s="18"/>
    </row>
    <row r="344" customFormat="false" ht="15" hidden="false" customHeight="false" outlineLevel="0" collapsed="false">
      <c r="A344" s="18"/>
      <c r="B344" s="18"/>
      <c r="C344" s="18"/>
      <c r="D344" s="18"/>
      <c r="E344" s="18"/>
      <c r="F344" s="12"/>
      <c r="G344" s="12"/>
      <c r="H344" s="12"/>
      <c r="I344" s="18"/>
      <c r="J344" s="18"/>
      <c r="K344" s="18"/>
    </row>
    <row r="345" customFormat="false" ht="15" hidden="false" customHeight="false" outlineLevel="0" collapsed="false">
      <c r="A345" s="18"/>
      <c r="B345" s="18"/>
      <c r="C345" s="18"/>
      <c r="D345" s="18"/>
      <c r="E345" s="18"/>
      <c r="F345" s="12"/>
      <c r="G345" s="12"/>
      <c r="H345" s="12"/>
      <c r="I345" s="18"/>
      <c r="J345" s="18"/>
      <c r="K345" s="18"/>
    </row>
    <row r="346" customFormat="false" ht="15" hidden="false" customHeight="false" outlineLevel="0" collapsed="false">
      <c r="A346" s="18"/>
      <c r="B346" s="18"/>
      <c r="C346" s="18"/>
      <c r="D346" s="18"/>
      <c r="E346" s="18"/>
      <c r="F346" s="12"/>
      <c r="G346" s="12"/>
      <c r="H346" s="12"/>
      <c r="I346" s="18"/>
      <c r="J346" s="18"/>
      <c r="K346" s="18"/>
    </row>
    <row r="347" customFormat="false" ht="15" hidden="false" customHeight="false" outlineLevel="0" collapsed="false">
      <c r="A347" s="18"/>
      <c r="B347" s="18"/>
      <c r="C347" s="18"/>
      <c r="D347" s="18"/>
      <c r="E347" s="18"/>
      <c r="F347" s="12"/>
      <c r="G347" s="12"/>
      <c r="H347" s="12"/>
      <c r="I347" s="18"/>
      <c r="J347" s="18"/>
      <c r="K347" s="18"/>
    </row>
    <row r="348" customFormat="false" ht="15" hidden="false" customHeight="false" outlineLevel="0" collapsed="false">
      <c r="A348" s="18"/>
      <c r="B348" s="18"/>
      <c r="C348" s="18"/>
      <c r="D348" s="18"/>
      <c r="E348" s="18"/>
      <c r="F348" s="12"/>
      <c r="G348" s="12"/>
      <c r="H348" s="12"/>
      <c r="I348" s="18"/>
      <c r="J348" s="18"/>
      <c r="K348" s="18"/>
    </row>
    <row r="349" customFormat="false" ht="15" hidden="false" customHeight="false" outlineLevel="0" collapsed="false">
      <c r="A349" s="18"/>
      <c r="B349" s="18"/>
      <c r="C349" s="18"/>
      <c r="D349" s="18"/>
      <c r="E349" s="18"/>
      <c r="F349" s="12"/>
      <c r="G349" s="12"/>
      <c r="H349" s="12"/>
      <c r="I349" s="18"/>
      <c r="J349" s="18"/>
      <c r="K349" s="18"/>
    </row>
    <row r="350" customFormat="false" ht="15" hidden="false" customHeight="false" outlineLevel="0" collapsed="false">
      <c r="A350" s="18"/>
      <c r="B350" s="18"/>
      <c r="C350" s="18"/>
      <c r="D350" s="18"/>
      <c r="E350" s="18"/>
      <c r="F350" s="12"/>
      <c r="G350" s="12"/>
      <c r="H350" s="12"/>
      <c r="I350" s="18"/>
      <c r="J350" s="18"/>
      <c r="K350" s="18"/>
    </row>
    <row r="351" customFormat="false" ht="15" hidden="false" customHeight="false" outlineLevel="0" collapsed="false">
      <c r="A351" s="18"/>
      <c r="B351" s="18"/>
      <c r="C351" s="18"/>
      <c r="D351" s="18"/>
      <c r="E351" s="18"/>
      <c r="F351" s="12"/>
      <c r="G351" s="12"/>
      <c r="H351" s="12"/>
      <c r="I351" s="18"/>
      <c r="J351" s="18"/>
      <c r="K351" s="18"/>
    </row>
    <row r="352" customFormat="false" ht="15" hidden="false" customHeight="false" outlineLevel="0" collapsed="false">
      <c r="A352" s="18"/>
      <c r="B352" s="18"/>
      <c r="C352" s="18"/>
      <c r="D352" s="18"/>
      <c r="E352" s="18"/>
      <c r="F352" s="12"/>
      <c r="G352" s="12"/>
      <c r="H352" s="12"/>
      <c r="I352" s="18"/>
      <c r="J352" s="18"/>
      <c r="K352" s="18"/>
    </row>
    <row r="353" customFormat="false" ht="15" hidden="false" customHeight="false" outlineLevel="0" collapsed="false">
      <c r="A353" s="18"/>
      <c r="B353" s="18"/>
      <c r="C353" s="18"/>
      <c r="D353" s="18"/>
      <c r="E353" s="18"/>
      <c r="F353" s="12"/>
      <c r="G353" s="12"/>
      <c r="H353" s="12"/>
      <c r="I353" s="18"/>
      <c r="J353" s="18"/>
      <c r="K353" s="18"/>
    </row>
    <row r="354" customFormat="false" ht="15" hidden="false" customHeight="false" outlineLevel="0" collapsed="false">
      <c r="A354" s="18"/>
      <c r="B354" s="18"/>
      <c r="C354" s="18"/>
      <c r="D354" s="18"/>
      <c r="E354" s="18"/>
      <c r="F354" s="12"/>
      <c r="G354" s="12"/>
      <c r="H354" s="12"/>
      <c r="I354" s="18"/>
      <c r="J354" s="18"/>
      <c r="K354" s="18"/>
    </row>
    <row r="355" customFormat="false" ht="15" hidden="false" customHeight="false" outlineLevel="0" collapsed="false">
      <c r="A355" s="18"/>
      <c r="B355" s="18"/>
      <c r="C355" s="18"/>
      <c r="D355" s="18"/>
      <c r="E355" s="18"/>
      <c r="F355" s="12"/>
      <c r="G355" s="12"/>
      <c r="H355" s="12"/>
      <c r="I355" s="18"/>
      <c r="J355" s="18"/>
      <c r="K355" s="18"/>
    </row>
    <row r="356" customFormat="false" ht="15" hidden="false" customHeight="false" outlineLevel="0" collapsed="false">
      <c r="A356" s="18"/>
      <c r="B356" s="18"/>
      <c r="C356" s="18"/>
      <c r="D356" s="18"/>
      <c r="E356" s="18"/>
      <c r="F356" s="12"/>
      <c r="G356" s="12"/>
      <c r="H356" s="12"/>
      <c r="I356" s="18"/>
      <c r="J356" s="18"/>
      <c r="K356" s="18"/>
    </row>
    <row r="357" customFormat="false" ht="15" hidden="false" customHeight="false" outlineLevel="0" collapsed="false">
      <c r="A357" s="18"/>
      <c r="B357" s="18"/>
      <c r="C357" s="18"/>
      <c r="D357" s="18"/>
      <c r="E357" s="18"/>
      <c r="F357" s="12"/>
      <c r="G357" s="12"/>
      <c r="H357" s="12"/>
      <c r="I357" s="18"/>
      <c r="J357" s="18"/>
      <c r="K357" s="18"/>
    </row>
    <row r="358" customFormat="false" ht="15" hidden="false" customHeight="false" outlineLevel="0" collapsed="false">
      <c r="A358" s="18"/>
      <c r="B358" s="18"/>
      <c r="C358" s="18"/>
      <c r="D358" s="18"/>
      <c r="E358" s="18"/>
      <c r="F358" s="12"/>
      <c r="G358" s="12"/>
      <c r="H358" s="12"/>
      <c r="I358" s="18"/>
      <c r="J358" s="18"/>
      <c r="K358" s="18"/>
    </row>
    <row r="359" customFormat="false" ht="15" hidden="false" customHeight="false" outlineLevel="0" collapsed="false">
      <c r="A359" s="18"/>
      <c r="B359" s="18"/>
      <c r="C359" s="18"/>
      <c r="D359" s="18"/>
      <c r="E359" s="18"/>
      <c r="F359" s="12"/>
      <c r="G359" s="12"/>
      <c r="H359" s="12"/>
      <c r="I359" s="18"/>
      <c r="J359" s="18"/>
      <c r="K359" s="18"/>
    </row>
    <row r="360" customFormat="false" ht="15" hidden="false" customHeight="false" outlineLevel="0" collapsed="false">
      <c r="A360" s="18"/>
      <c r="B360" s="18"/>
      <c r="C360" s="18"/>
      <c r="D360" s="18"/>
      <c r="E360" s="18"/>
      <c r="F360" s="12"/>
      <c r="G360" s="12"/>
      <c r="H360" s="12"/>
      <c r="I360" s="18"/>
      <c r="J360" s="18"/>
      <c r="K360" s="18"/>
    </row>
    <row r="361" customFormat="false" ht="15" hidden="false" customHeight="false" outlineLevel="0" collapsed="false">
      <c r="A361" s="18"/>
      <c r="B361" s="18"/>
      <c r="C361" s="18"/>
      <c r="D361" s="18"/>
      <c r="E361" s="18"/>
      <c r="F361" s="12"/>
      <c r="G361" s="12"/>
      <c r="H361" s="12"/>
      <c r="I361" s="18"/>
      <c r="J361" s="18"/>
      <c r="K361" s="18"/>
    </row>
    <row r="362" customFormat="false" ht="15" hidden="false" customHeight="false" outlineLevel="0" collapsed="false">
      <c r="A362" s="18"/>
      <c r="B362" s="18"/>
      <c r="C362" s="18"/>
      <c r="D362" s="18"/>
      <c r="E362" s="18"/>
      <c r="F362" s="12"/>
      <c r="G362" s="12"/>
      <c r="H362" s="12"/>
      <c r="I362" s="18"/>
      <c r="J362" s="18"/>
      <c r="K362" s="18"/>
    </row>
    <row r="363" customFormat="false" ht="15" hidden="false" customHeight="false" outlineLevel="0" collapsed="false">
      <c r="A363" s="18"/>
      <c r="B363" s="18"/>
      <c r="C363" s="18"/>
      <c r="D363" s="18"/>
      <c r="E363" s="18"/>
      <c r="F363" s="12"/>
      <c r="G363" s="12"/>
      <c r="H363" s="12"/>
      <c r="I363" s="18"/>
      <c r="J363" s="18"/>
      <c r="K363" s="18"/>
    </row>
    <row r="364" customFormat="false" ht="15" hidden="false" customHeight="false" outlineLevel="0" collapsed="false">
      <c r="A364" s="18"/>
      <c r="B364" s="18"/>
      <c r="C364" s="18"/>
      <c r="D364" s="18"/>
      <c r="E364" s="18"/>
      <c r="F364" s="12"/>
      <c r="G364" s="12"/>
      <c r="H364" s="12"/>
      <c r="I364" s="18"/>
      <c r="J364" s="18"/>
      <c r="K364" s="18"/>
    </row>
    <row r="365" customFormat="false" ht="15" hidden="false" customHeight="false" outlineLevel="0" collapsed="false">
      <c r="A365" s="18"/>
      <c r="B365" s="18"/>
      <c r="C365" s="18"/>
      <c r="D365" s="18"/>
      <c r="E365" s="18"/>
      <c r="F365" s="12"/>
      <c r="G365" s="12"/>
      <c r="H365" s="12"/>
      <c r="I365" s="18"/>
      <c r="J365" s="18"/>
      <c r="K365" s="18"/>
    </row>
    <row r="366" customFormat="false" ht="15" hidden="false" customHeight="false" outlineLevel="0" collapsed="false">
      <c r="A366" s="18"/>
      <c r="B366" s="18"/>
      <c r="C366" s="18"/>
      <c r="D366" s="18"/>
      <c r="E366" s="18"/>
      <c r="F366" s="12"/>
      <c r="G366" s="12"/>
      <c r="H366" s="12"/>
      <c r="I366" s="18"/>
      <c r="J366" s="18"/>
      <c r="K366" s="18"/>
    </row>
    <row r="367" customFormat="false" ht="15" hidden="false" customHeight="false" outlineLevel="0" collapsed="false">
      <c r="A367" s="18"/>
      <c r="B367" s="18"/>
      <c r="C367" s="18"/>
      <c r="D367" s="18"/>
      <c r="E367" s="18"/>
      <c r="F367" s="12"/>
      <c r="G367" s="12"/>
      <c r="H367" s="12"/>
      <c r="I367" s="18"/>
      <c r="J367" s="18"/>
      <c r="K367" s="18"/>
    </row>
    <row r="368" customFormat="false" ht="15" hidden="false" customHeight="false" outlineLevel="0" collapsed="false">
      <c r="A368" s="18"/>
      <c r="B368" s="18"/>
      <c r="C368" s="18"/>
      <c r="D368" s="18"/>
      <c r="E368" s="18"/>
      <c r="F368" s="12"/>
      <c r="G368" s="12"/>
      <c r="H368" s="12"/>
      <c r="I368" s="18"/>
      <c r="J368" s="18"/>
      <c r="K368" s="18"/>
    </row>
    <row r="369" customFormat="false" ht="15" hidden="false" customHeight="false" outlineLevel="0" collapsed="false">
      <c r="A369" s="18"/>
      <c r="B369" s="18"/>
      <c r="C369" s="18"/>
      <c r="D369" s="18"/>
      <c r="E369" s="18"/>
      <c r="F369" s="12"/>
      <c r="G369" s="12"/>
      <c r="H369" s="12"/>
      <c r="I369" s="18"/>
      <c r="J369" s="18"/>
      <c r="K369" s="18"/>
    </row>
    <row r="370" customFormat="false" ht="15" hidden="false" customHeight="false" outlineLevel="0" collapsed="false">
      <c r="A370" s="18"/>
      <c r="B370" s="18"/>
      <c r="C370" s="18"/>
      <c r="D370" s="18"/>
      <c r="E370" s="18"/>
      <c r="F370" s="12"/>
      <c r="G370" s="12"/>
      <c r="H370" s="12"/>
      <c r="I370" s="18"/>
      <c r="J370" s="18"/>
      <c r="K370" s="18"/>
    </row>
    <row r="371" customFormat="false" ht="15" hidden="false" customHeight="false" outlineLevel="0" collapsed="false">
      <c r="A371" s="18"/>
      <c r="B371" s="18"/>
      <c r="C371" s="18"/>
      <c r="D371" s="18"/>
      <c r="E371" s="18"/>
      <c r="F371" s="12"/>
      <c r="G371" s="12"/>
      <c r="H371" s="12"/>
      <c r="I371" s="18"/>
      <c r="J371" s="18"/>
      <c r="K371" s="18"/>
    </row>
    <row r="372" customFormat="false" ht="15" hidden="false" customHeight="false" outlineLevel="0" collapsed="false">
      <c r="A372" s="18"/>
      <c r="B372" s="18"/>
      <c r="C372" s="18"/>
      <c r="D372" s="18"/>
      <c r="E372" s="18"/>
      <c r="F372" s="12"/>
      <c r="G372" s="12"/>
      <c r="H372" s="12"/>
      <c r="I372" s="18"/>
      <c r="J372" s="18"/>
      <c r="K372" s="18"/>
    </row>
    <row r="373" customFormat="false" ht="15" hidden="false" customHeight="false" outlineLevel="0" collapsed="false">
      <c r="A373" s="18"/>
      <c r="B373" s="18"/>
      <c r="C373" s="18"/>
      <c r="D373" s="18"/>
      <c r="E373" s="18"/>
      <c r="F373" s="12"/>
      <c r="G373" s="12"/>
      <c r="H373" s="12"/>
      <c r="I373" s="18"/>
      <c r="J373" s="18"/>
      <c r="K373" s="18"/>
    </row>
    <row r="374" customFormat="false" ht="15" hidden="false" customHeight="false" outlineLevel="0" collapsed="false">
      <c r="A374" s="18"/>
      <c r="B374" s="18"/>
      <c r="C374" s="18"/>
      <c r="D374" s="18"/>
      <c r="E374" s="18"/>
      <c r="F374" s="12"/>
      <c r="G374" s="12"/>
      <c r="H374" s="12"/>
      <c r="I374" s="18"/>
      <c r="J374" s="18"/>
      <c r="K374" s="18"/>
    </row>
    <row r="375" customFormat="false" ht="15" hidden="false" customHeight="false" outlineLevel="0" collapsed="false">
      <c r="A375" s="18"/>
      <c r="B375" s="18"/>
      <c r="C375" s="18"/>
      <c r="D375" s="18"/>
      <c r="E375" s="18"/>
      <c r="F375" s="12"/>
      <c r="G375" s="12"/>
      <c r="H375" s="12"/>
      <c r="I375" s="18"/>
      <c r="J375" s="18"/>
      <c r="K375" s="18"/>
    </row>
    <row r="376" customFormat="false" ht="15" hidden="false" customHeight="false" outlineLevel="0" collapsed="false">
      <c r="A376" s="18"/>
      <c r="B376" s="18"/>
      <c r="C376" s="18"/>
      <c r="D376" s="18"/>
      <c r="E376" s="18"/>
      <c r="F376" s="12"/>
      <c r="G376" s="12"/>
      <c r="H376" s="12"/>
      <c r="I376" s="18"/>
      <c r="J376" s="18"/>
      <c r="K376" s="18"/>
    </row>
    <row r="377" customFormat="false" ht="15" hidden="false" customHeight="false" outlineLevel="0" collapsed="false">
      <c r="A377" s="18"/>
      <c r="B377" s="18"/>
      <c r="C377" s="18"/>
      <c r="D377" s="18"/>
      <c r="E377" s="18"/>
      <c r="F377" s="12"/>
      <c r="G377" s="12"/>
      <c r="H377" s="12"/>
      <c r="I377" s="18"/>
      <c r="J377" s="18"/>
      <c r="K377" s="18"/>
    </row>
    <row r="378" customFormat="false" ht="15" hidden="false" customHeight="false" outlineLevel="0" collapsed="false">
      <c r="A378" s="18"/>
      <c r="B378" s="18"/>
      <c r="C378" s="18"/>
      <c r="D378" s="18"/>
      <c r="E378" s="18"/>
      <c r="F378" s="12"/>
      <c r="G378" s="12"/>
      <c r="H378" s="12"/>
      <c r="I378" s="18"/>
      <c r="J378" s="18"/>
      <c r="K378" s="18"/>
    </row>
    <row r="379" customFormat="false" ht="15" hidden="false" customHeight="false" outlineLevel="0" collapsed="false">
      <c r="A379" s="18"/>
      <c r="B379" s="18"/>
      <c r="C379" s="18"/>
      <c r="D379" s="18"/>
      <c r="E379" s="18"/>
      <c r="F379" s="12"/>
      <c r="G379" s="12"/>
      <c r="H379" s="12"/>
      <c r="I379" s="18"/>
      <c r="J379" s="18"/>
      <c r="K379" s="18"/>
    </row>
    <row r="380" customFormat="false" ht="15" hidden="false" customHeight="false" outlineLevel="0" collapsed="false">
      <c r="A380" s="18"/>
      <c r="B380" s="18"/>
      <c r="C380" s="18"/>
      <c r="D380" s="18"/>
      <c r="E380" s="18"/>
      <c r="F380" s="12"/>
      <c r="G380" s="12"/>
      <c r="H380" s="12"/>
      <c r="I380" s="18"/>
      <c r="J380" s="18"/>
      <c r="K380" s="18"/>
    </row>
    <row r="381" customFormat="false" ht="15" hidden="false" customHeight="false" outlineLevel="0" collapsed="false">
      <c r="A381" s="18"/>
      <c r="B381" s="18"/>
      <c r="C381" s="18"/>
      <c r="D381" s="18"/>
      <c r="E381" s="18"/>
      <c r="F381" s="12"/>
      <c r="G381" s="12"/>
      <c r="H381" s="12"/>
      <c r="I381" s="18"/>
      <c r="J381" s="18"/>
      <c r="K381" s="18"/>
    </row>
    <row r="382" customFormat="false" ht="15" hidden="false" customHeight="false" outlineLevel="0" collapsed="false">
      <c r="A382" s="18"/>
      <c r="B382" s="18"/>
      <c r="C382" s="18"/>
      <c r="D382" s="18"/>
      <c r="E382" s="18"/>
      <c r="F382" s="12"/>
      <c r="G382" s="12"/>
      <c r="H382" s="12"/>
      <c r="I382" s="18"/>
      <c r="J382" s="18"/>
      <c r="K382" s="18"/>
    </row>
    <row r="383" customFormat="false" ht="15" hidden="false" customHeight="false" outlineLevel="0" collapsed="false">
      <c r="A383" s="18"/>
      <c r="B383" s="18"/>
      <c r="C383" s="18"/>
      <c r="D383" s="18"/>
      <c r="E383" s="18"/>
      <c r="F383" s="12"/>
      <c r="G383" s="12"/>
      <c r="H383" s="12"/>
      <c r="I383" s="18"/>
      <c r="J383" s="18"/>
      <c r="K383" s="18"/>
    </row>
    <row r="384" customFormat="false" ht="15" hidden="false" customHeight="false" outlineLevel="0" collapsed="false">
      <c r="A384" s="18"/>
      <c r="B384" s="18"/>
      <c r="C384" s="18"/>
      <c r="D384" s="18"/>
      <c r="E384" s="18"/>
      <c r="F384" s="12"/>
      <c r="G384" s="12"/>
      <c r="H384" s="12"/>
      <c r="I384" s="18"/>
      <c r="J384" s="18"/>
      <c r="K384" s="18"/>
    </row>
    <row r="385" customFormat="false" ht="15" hidden="false" customHeight="false" outlineLevel="0" collapsed="false">
      <c r="A385" s="18"/>
      <c r="B385" s="18"/>
      <c r="C385" s="18"/>
      <c r="D385" s="18"/>
      <c r="E385" s="18"/>
      <c r="F385" s="12"/>
      <c r="G385" s="12"/>
      <c r="H385" s="12"/>
      <c r="I385" s="18"/>
      <c r="J385" s="18"/>
      <c r="K385" s="18"/>
    </row>
    <row r="386" customFormat="false" ht="15" hidden="false" customHeight="false" outlineLevel="0" collapsed="false">
      <c r="A386" s="18"/>
      <c r="B386" s="18"/>
      <c r="C386" s="18"/>
      <c r="D386" s="18"/>
      <c r="E386" s="18"/>
      <c r="F386" s="12"/>
      <c r="G386" s="12"/>
      <c r="H386" s="12"/>
      <c r="I386" s="18"/>
      <c r="J386" s="18"/>
      <c r="K386" s="18"/>
    </row>
    <row r="387" customFormat="false" ht="15" hidden="false" customHeight="false" outlineLevel="0" collapsed="false">
      <c r="A387" s="18"/>
      <c r="B387" s="18"/>
      <c r="C387" s="18"/>
      <c r="D387" s="18"/>
      <c r="E387" s="18"/>
      <c r="F387" s="12"/>
      <c r="G387" s="12"/>
      <c r="H387" s="12"/>
      <c r="I387" s="18"/>
      <c r="J387" s="18"/>
      <c r="K387" s="18"/>
    </row>
    <row r="388" customFormat="false" ht="15" hidden="false" customHeight="false" outlineLevel="0" collapsed="false">
      <c r="A388" s="18"/>
      <c r="B388" s="18"/>
      <c r="C388" s="18"/>
      <c r="D388" s="18"/>
      <c r="E388" s="18"/>
      <c r="F388" s="12"/>
      <c r="G388" s="12"/>
      <c r="H388" s="12"/>
      <c r="I388" s="18"/>
      <c r="J388" s="18"/>
      <c r="K388" s="18"/>
    </row>
    <row r="389" customFormat="false" ht="15" hidden="false" customHeight="false" outlineLevel="0" collapsed="false">
      <c r="A389" s="18"/>
      <c r="B389" s="18"/>
      <c r="C389" s="18"/>
      <c r="D389" s="18"/>
      <c r="E389" s="18"/>
      <c r="F389" s="12"/>
      <c r="G389" s="12"/>
      <c r="H389" s="12"/>
      <c r="I389" s="18"/>
      <c r="J389" s="18"/>
      <c r="K389" s="18"/>
    </row>
    <row r="390" customFormat="false" ht="15" hidden="false" customHeight="false" outlineLevel="0" collapsed="false">
      <c r="A390" s="18"/>
      <c r="B390" s="18"/>
      <c r="C390" s="18"/>
      <c r="D390" s="18"/>
      <c r="E390" s="18"/>
      <c r="F390" s="12"/>
      <c r="G390" s="12"/>
      <c r="H390" s="12"/>
      <c r="I390" s="18"/>
      <c r="J390" s="18"/>
      <c r="K390" s="18"/>
    </row>
    <row r="391" customFormat="false" ht="15" hidden="false" customHeight="false" outlineLevel="0" collapsed="false">
      <c r="A391" s="18"/>
      <c r="B391" s="18"/>
      <c r="C391" s="18"/>
      <c r="D391" s="18"/>
      <c r="E391" s="18"/>
      <c r="F391" s="12"/>
      <c r="G391" s="12"/>
      <c r="H391" s="12"/>
      <c r="I391" s="18"/>
      <c r="J391" s="18"/>
      <c r="K391" s="18"/>
    </row>
    <row r="392" customFormat="false" ht="15" hidden="false" customHeight="false" outlineLevel="0" collapsed="false">
      <c r="A392" s="18"/>
      <c r="B392" s="18"/>
      <c r="C392" s="18"/>
      <c r="D392" s="18"/>
      <c r="E392" s="18"/>
      <c r="F392" s="12"/>
      <c r="G392" s="12"/>
      <c r="H392" s="12"/>
      <c r="I392" s="18"/>
      <c r="J392" s="18"/>
      <c r="K392" s="18"/>
    </row>
    <row r="393" customFormat="false" ht="15" hidden="false" customHeight="false" outlineLevel="0" collapsed="false">
      <c r="A393" s="18"/>
      <c r="B393" s="18"/>
      <c r="C393" s="18"/>
      <c r="D393" s="18"/>
      <c r="E393" s="18"/>
      <c r="F393" s="12"/>
      <c r="G393" s="12"/>
      <c r="H393" s="12"/>
      <c r="I393" s="18"/>
      <c r="J393" s="18"/>
      <c r="K393" s="18"/>
    </row>
    <row r="394" customFormat="false" ht="15" hidden="false" customHeight="false" outlineLevel="0" collapsed="false">
      <c r="A394" s="18"/>
      <c r="B394" s="18"/>
      <c r="C394" s="18"/>
      <c r="D394" s="18"/>
      <c r="E394" s="18"/>
      <c r="F394" s="12"/>
      <c r="G394" s="12"/>
      <c r="H394" s="12"/>
      <c r="I394" s="18"/>
      <c r="J394" s="18"/>
      <c r="K394" s="18"/>
    </row>
    <row r="395" customFormat="false" ht="15" hidden="false" customHeight="false" outlineLevel="0" collapsed="false">
      <c r="A395" s="18"/>
      <c r="B395" s="18"/>
      <c r="C395" s="18"/>
      <c r="D395" s="18"/>
      <c r="E395" s="18"/>
      <c r="F395" s="12"/>
      <c r="G395" s="12"/>
      <c r="H395" s="12"/>
      <c r="I395" s="18"/>
      <c r="J395" s="18"/>
      <c r="K395" s="18"/>
    </row>
    <row r="396" customFormat="false" ht="15" hidden="false" customHeight="false" outlineLevel="0" collapsed="false">
      <c r="A396" s="18"/>
      <c r="B396" s="18"/>
      <c r="C396" s="18"/>
      <c r="D396" s="18"/>
      <c r="E396" s="18"/>
      <c r="F396" s="12"/>
      <c r="G396" s="12"/>
      <c r="H396" s="12"/>
      <c r="I396" s="18"/>
      <c r="J396" s="18"/>
      <c r="K396" s="18"/>
    </row>
    <row r="397" customFormat="false" ht="15" hidden="false" customHeight="false" outlineLevel="0" collapsed="false">
      <c r="A397" s="18"/>
      <c r="B397" s="18"/>
      <c r="C397" s="18"/>
      <c r="D397" s="18"/>
      <c r="E397" s="18"/>
      <c r="F397" s="12"/>
      <c r="G397" s="12"/>
      <c r="H397" s="12"/>
      <c r="I397" s="18"/>
      <c r="J397" s="18"/>
      <c r="K397" s="18"/>
    </row>
    <row r="398" customFormat="false" ht="15" hidden="false" customHeight="false" outlineLevel="0" collapsed="false">
      <c r="A398" s="18"/>
      <c r="B398" s="18"/>
      <c r="C398" s="18"/>
      <c r="D398" s="18"/>
      <c r="E398" s="18"/>
      <c r="F398" s="12"/>
      <c r="G398" s="12"/>
      <c r="H398" s="12"/>
      <c r="I398" s="18"/>
      <c r="J398" s="18"/>
      <c r="K398" s="18"/>
    </row>
    <row r="399" customFormat="false" ht="15" hidden="false" customHeight="false" outlineLevel="0" collapsed="false">
      <c r="A399" s="18"/>
      <c r="B399" s="18"/>
      <c r="C399" s="18"/>
      <c r="D399" s="18"/>
      <c r="E399" s="18"/>
      <c r="F399" s="12"/>
      <c r="G399" s="12"/>
      <c r="H399" s="12"/>
      <c r="I399" s="18"/>
      <c r="J399" s="18"/>
      <c r="K399" s="18"/>
    </row>
    <row r="400" customFormat="false" ht="15" hidden="false" customHeight="false" outlineLevel="0" collapsed="false">
      <c r="A400" s="18"/>
      <c r="B400" s="18"/>
      <c r="C400" s="18"/>
      <c r="D400" s="18"/>
      <c r="E400" s="18"/>
      <c r="F400" s="12"/>
      <c r="G400" s="12"/>
      <c r="H400" s="12"/>
      <c r="I400" s="18"/>
      <c r="J400" s="18"/>
      <c r="K400" s="18"/>
    </row>
  </sheetData>
  <dataValidations count="2">
    <dataValidation allowBlank="true" errorStyle="stop" operator="between" showDropDown="false" showErrorMessage="false" showInputMessage="false" sqref="F4:F400" type="list">
      <formula1>"1,0"</formula1>
      <formula2>0</formula2>
    </dataValidation>
    <dataValidation allowBlank="true" errorStyle="stop" operator="between" showDropDown="false" showErrorMessage="false" showInputMessage="false" sqref="G4:H40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0.1" hidden="false" customHeight="fals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3" customFormat="false" ht="30" hidden="false" customHeight="true" outlineLevel="0" collapsed="false">
      <c r="A3" s="8" t="s">
        <v>161</v>
      </c>
      <c r="B3" s="8" t="s">
        <v>162</v>
      </c>
      <c r="C3" s="8" t="s">
        <v>344</v>
      </c>
      <c r="D3" s="8" t="s">
        <v>345</v>
      </c>
    </row>
    <row r="4" customFormat="false" ht="15" hidden="false" customHeight="false" outlineLevel="0" collapsed="false">
      <c r="A4" s="17" t="s">
        <v>346</v>
      </c>
      <c r="B4" s="17" t="s">
        <v>347</v>
      </c>
      <c r="C4" s="17" t="s">
        <v>348</v>
      </c>
      <c r="D4" s="19" t="s">
        <v>349</v>
      </c>
    </row>
    <row r="5" customFormat="false" ht="15" hidden="false" customHeight="false" outlineLevel="0" collapsed="false">
      <c r="A5" s="17" t="s">
        <v>177</v>
      </c>
      <c r="B5" s="17" t="s">
        <v>178</v>
      </c>
      <c r="C5" s="17" t="s">
        <v>350</v>
      </c>
    </row>
    <row r="6" customFormat="false" ht="15" hidden="false" customHeight="false" outlineLevel="0" collapsed="false">
      <c r="A6" s="17" t="s">
        <v>351</v>
      </c>
      <c r="B6" s="17" t="s">
        <v>352</v>
      </c>
      <c r="C6" s="17" t="s">
        <v>353</v>
      </c>
    </row>
    <row r="7" customFormat="false" ht="15" hidden="false" customHeight="false" outlineLevel="0" collapsed="false">
      <c r="A7" s="17" t="s">
        <v>354</v>
      </c>
      <c r="B7" s="17" t="s">
        <v>355</v>
      </c>
      <c r="C7" s="17" t="s">
        <v>356</v>
      </c>
    </row>
    <row r="8" customFormat="false" ht="15" hidden="false" customHeight="false" outlineLevel="0" collapsed="false">
      <c r="A8" s="17" t="s">
        <v>357</v>
      </c>
      <c r="B8" s="19" t="s">
        <v>358</v>
      </c>
      <c r="C8" s="17" t="s">
        <v>359</v>
      </c>
    </row>
    <row r="9" customFormat="false" ht="15" hidden="false" customHeight="false" outlineLevel="0" collapsed="false">
      <c r="A9" s="17" t="s">
        <v>360</v>
      </c>
      <c r="B9" s="19" t="s">
        <v>361</v>
      </c>
      <c r="C9" s="17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4"/>
  </cols>
  <sheetData>
    <row r="1" customFormat="false" ht="20.1" hidden="false" customHeight="false" outlineLevel="0" collapsed="false">
      <c r="A1" s="1" t="s">
        <v>363</v>
      </c>
    </row>
    <row r="2" customFormat="false" ht="15" hidden="false" customHeight="false" outlineLevel="0" collapsed="false">
      <c r="A2" s="2" t="s">
        <v>364</v>
      </c>
    </row>
    <row r="3" customFormat="false" ht="30" hidden="false" customHeight="true" outlineLevel="0" collapsed="false">
      <c r="A3" s="8" t="s">
        <v>365</v>
      </c>
      <c r="B3" s="8" t="s">
        <v>366</v>
      </c>
      <c r="C3" s="8" t="s">
        <v>188</v>
      </c>
      <c r="D3" s="8" t="s">
        <v>367</v>
      </c>
      <c r="E3" s="8" t="s">
        <v>368</v>
      </c>
      <c r="F3" s="8" t="s">
        <v>369</v>
      </c>
      <c r="G3" s="8" t="s">
        <v>370</v>
      </c>
      <c r="H3" s="8" t="s">
        <v>371</v>
      </c>
      <c r="I3" s="8" t="s">
        <v>60</v>
      </c>
    </row>
    <row r="4" customFormat="false" ht="15" hidden="false" customHeight="false" outlineLevel="0" collapsed="false">
      <c r="A4" s="10" t="s">
        <v>372</v>
      </c>
      <c r="B4" s="11" t="s">
        <v>373</v>
      </c>
      <c r="C4" s="10" t="s">
        <v>374</v>
      </c>
      <c r="D4" s="10" t="s">
        <v>375</v>
      </c>
      <c r="E4" s="11" t="s">
        <v>376</v>
      </c>
      <c r="F4" s="11" t="s">
        <v>377</v>
      </c>
      <c r="G4" s="10" t="s">
        <v>378</v>
      </c>
      <c r="H4" s="11" t="s">
        <v>89</v>
      </c>
      <c r="I4" s="10" t="s">
        <v>69</v>
      </c>
    </row>
    <row r="5" customFormat="false" ht="15" hidden="false" customHeight="false" outlineLevel="0" collapsed="false">
      <c r="A5" s="10" t="s">
        <v>372</v>
      </c>
      <c r="B5" s="11" t="s">
        <v>373</v>
      </c>
      <c r="C5" s="10" t="s">
        <v>379</v>
      </c>
      <c r="D5" s="10" t="s">
        <v>380</v>
      </c>
      <c r="E5" s="11" t="s">
        <v>381</v>
      </c>
      <c r="F5" s="11" t="s">
        <v>382</v>
      </c>
      <c r="G5" s="10" t="s">
        <v>383</v>
      </c>
      <c r="H5" s="11" t="s">
        <v>384</v>
      </c>
      <c r="I5" s="10" t="s">
        <v>385</v>
      </c>
    </row>
    <row r="6" customFormat="false" ht="15" hidden="false" customHeight="false" outlineLevel="0" collapsed="false">
      <c r="A6" s="10" t="s">
        <v>372</v>
      </c>
      <c r="B6" s="11" t="s">
        <v>373</v>
      </c>
      <c r="C6" s="10" t="s">
        <v>386</v>
      </c>
      <c r="D6" s="11" t="s">
        <v>387</v>
      </c>
      <c r="E6" s="10" t="s">
        <v>388</v>
      </c>
      <c r="F6" s="11" t="s">
        <v>389</v>
      </c>
      <c r="G6" s="10" t="s">
        <v>378</v>
      </c>
      <c r="H6" s="11" t="s">
        <v>384</v>
      </c>
      <c r="I6" s="10" t="s">
        <v>390</v>
      </c>
    </row>
    <row r="7" customFormat="false" ht="15" hidden="false" customHeight="false" outlineLevel="0" collapsed="false">
      <c r="A7" s="18"/>
      <c r="B7" s="18"/>
      <c r="C7" s="12"/>
      <c r="D7" s="18"/>
      <c r="E7" s="18"/>
      <c r="F7" s="18"/>
      <c r="G7" s="12"/>
      <c r="H7" s="12"/>
      <c r="I7" s="18"/>
    </row>
    <row r="8" customFormat="false" ht="15" hidden="false" customHeight="false" outlineLevel="0" collapsed="false">
      <c r="A8" s="18"/>
      <c r="B8" s="18"/>
      <c r="C8" s="12"/>
      <c r="D8" s="18"/>
      <c r="E8" s="18"/>
      <c r="F8" s="18"/>
      <c r="G8" s="12"/>
      <c r="H8" s="12"/>
      <c r="I8" s="18"/>
    </row>
    <row r="9" customFormat="false" ht="15" hidden="false" customHeight="false" outlineLevel="0" collapsed="false">
      <c r="A9" s="18"/>
      <c r="B9" s="18"/>
      <c r="C9" s="12"/>
      <c r="D9" s="18"/>
      <c r="E9" s="18"/>
      <c r="F9" s="18"/>
      <c r="G9" s="12"/>
      <c r="H9" s="12"/>
      <c r="I9" s="18"/>
    </row>
    <row r="10" customFormat="false" ht="15" hidden="false" customHeight="false" outlineLevel="0" collapsed="false">
      <c r="A10" s="18"/>
      <c r="B10" s="18"/>
      <c r="C10" s="12"/>
      <c r="D10" s="18"/>
      <c r="E10" s="18"/>
      <c r="F10" s="18"/>
      <c r="G10" s="12"/>
      <c r="H10" s="12"/>
      <c r="I10" s="18"/>
    </row>
    <row r="11" customFormat="false" ht="15" hidden="false" customHeight="false" outlineLevel="0" collapsed="false">
      <c r="A11" s="18"/>
      <c r="B11" s="18"/>
      <c r="C11" s="12"/>
      <c r="D11" s="18"/>
      <c r="E11" s="18"/>
      <c r="F11" s="18"/>
      <c r="G11" s="12"/>
      <c r="H11" s="12"/>
      <c r="I11" s="18"/>
    </row>
    <row r="12" customFormat="false" ht="15" hidden="false" customHeight="false" outlineLevel="0" collapsed="false">
      <c r="A12" s="18"/>
      <c r="B12" s="18"/>
      <c r="C12" s="12"/>
      <c r="D12" s="18"/>
      <c r="E12" s="18"/>
      <c r="F12" s="18"/>
      <c r="G12" s="12"/>
      <c r="H12" s="12"/>
      <c r="I12" s="18"/>
    </row>
    <row r="13" customFormat="false" ht="15" hidden="false" customHeight="false" outlineLevel="0" collapsed="false">
      <c r="A13" s="18"/>
      <c r="B13" s="18"/>
      <c r="C13" s="12"/>
      <c r="D13" s="18"/>
      <c r="E13" s="18"/>
      <c r="F13" s="18"/>
      <c r="G13" s="12"/>
      <c r="H13" s="12"/>
      <c r="I13" s="18"/>
    </row>
    <row r="14" customFormat="false" ht="15" hidden="false" customHeight="false" outlineLevel="0" collapsed="false">
      <c r="A14" s="18"/>
      <c r="B14" s="18"/>
      <c r="C14" s="12"/>
      <c r="D14" s="18"/>
      <c r="E14" s="18"/>
      <c r="F14" s="18"/>
      <c r="G14" s="12"/>
      <c r="H14" s="12"/>
      <c r="I14" s="18"/>
    </row>
    <row r="15" customFormat="false" ht="15" hidden="false" customHeight="false" outlineLevel="0" collapsed="false">
      <c r="A15" s="18"/>
      <c r="B15" s="18"/>
      <c r="C15" s="12"/>
      <c r="D15" s="18"/>
      <c r="E15" s="18"/>
      <c r="F15" s="18"/>
      <c r="G15" s="12"/>
      <c r="H15" s="12"/>
      <c r="I15" s="18"/>
    </row>
    <row r="16" customFormat="false" ht="15" hidden="false" customHeight="false" outlineLevel="0" collapsed="false">
      <c r="A16" s="18"/>
      <c r="B16" s="18"/>
      <c r="C16" s="12"/>
      <c r="D16" s="18"/>
      <c r="E16" s="18"/>
      <c r="F16" s="18"/>
      <c r="G16" s="12"/>
      <c r="H16" s="12"/>
      <c r="I16" s="18"/>
    </row>
    <row r="17" customFormat="false" ht="15" hidden="false" customHeight="false" outlineLevel="0" collapsed="false">
      <c r="A17" s="18"/>
      <c r="B17" s="18"/>
      <c r="C17" s="12"/>
      <c r="D17" s="18"/>
      <c r="E17" s="18"/>
      <c r="F17" s="18"/>
      <c r="G17" s="12"/>
      <c r="H17" s="12"/>
      <c r="I17" s="18"/>
    </row>
    <row r="18" customFormat="false" ht="15" hidden="false" customHeight="false" outlineLevel="0" collapsed="false">
      <c r="A18" s="18"/>
      <c r="B18" s="18"/>
      <c r="C18" s="12"/>
      <c r="D18" s="18"/>
      <c r="E18" s="18"/>
      <c r="F18" s="18"/>
      <c r="G18" s="12"/>
      <c r="H18" s="12"/>
      <c r="I18" s="18"/>
    </row>
    <row r="19" customFormat="false" ht="15" hidden="false" customHeight="false" outlineLevel="0" collapsed="false">
      <c r="A19" s="18"/>
      <c r="B19" s="18"/>
      <c r="C19" s="12"/>
      <c r="D19" s="18"/>
      <c r="E19" s="18"/>
      <c r="F19" s="18"/>
      <c r="G19" s="12"/>
      <c r="H19" s="12"/>
      <c r="I19" s="18"/>
    </row>
    <row r="20" customFormat="false" ht="15" hidden="false" customHeight="false" outlineLevel="0" collapsed="false">
      <c r="A20" s="18"/>
      <c r="B20" s="18"/>
      <c r="C20" s="12"/>
      <c r="D20" s="18"/>
      <c r="E20" s="18"/>
      <c r="F20" s="18"/>
      <c r="G20" s="12"/>
      <c r="H20" s="12"/>
      <c r="I20" s="18"/>
    </row>
    <row r="21" customFormat="false" ht="15" hidden="false" customHeight="false" outlineLevel="0" collapsed="false">
      <c r="A21" s="18"/>
      <c r="B21" s="18"/>
      <c r="C21" s="12"/>
      <c r="D21" s="18"/>
      <c r="E21" s="18"/>
      <c r="F21" s="18"/>
      <c r="G21" s="12"/>
      <c r="H21" s="12"/>
      <c r="I21" s="18"/>
    </row>
    <row r="22" customFormat="false" ht="15" hidden="false" customHeight="false" outlineLevel="0" collapsed="false">
      <c r="A22" s="18"/>
      <c r="B22" s="18"/>
      <c r="C22" s="12"/>
      <c r="D22" s="18"/>
      <c r="E22" s="18"/>
      <c r="F22" s="18"/>
      <c r="G22" s="12"/>
      <c r="H22" s="12"/>
      <c r="I22" s="18"/>
    </row>
    <row r="23" customFormat="false" ht="15" hidden="false" customHeight="false" outlineLevel="0" collapsed="false">
      <c r="A23" s="18"/>
      <c r="B23" s="18"/>
      <c r="C23" s="12"/>
      <c r="D23" s="18"/>
      <c r="E23" s="18"/>
      <c r="F23" s="18"/>
      <c r="G23" s="12"/>
      <c r="H23" s="12"/>
      <c r="I23" s="18"/>
    </row>
    <row r="24" customFormat="false" ht="15" hidden="false" customHeight="false" outlineLevel="0" collapsed="false">
      <c r="A24" s="18"/>
      <c r="B24" s="18"/>
      <c r="C24" s="12"/>
      <c r="D24" s="18"/>
      <c r="E24" s="18"/>
      <c r="F24" s="18"/>
      <c r="G24" s="12"/>
      <c r="H24" s="12"/>
      <c r="I24" s="18"/>
    </row>
    <row r="25" customFormat="false" ht="15" hidden="false" customHeight="false" outlineLevel="0" collapsed="false">
      <c r="A25" s="18"/>
      <c r="B25" s="18"/>
      <c r="C25" s="12"/>
      <c r="D25" s="18"/>
      <c r="E25" s="18"/>
      <c r="F25" s="18"/>
      <c r="G25" s="12"/>
      <c r="H25" s="12"/>
      <c r="I25" s="18"/>
    </row>
    <row r="26" customFormat="false" ht="15" hidden="false" customHeight="false" outlineLevel="0" collapsed="false">
      <c r="A26" s="18"/>
      <c r="B26" s="18"/>
      <c r="C26" s="12"/>
      <c r="D26" s="18"/>
      <c r="E26" s="18"/>
      <c r="F26" s="18"/>
      <c r="G26" s="12"/>
      <c r="H26" s="12"/>
      <c r="I26" s="18"/>
    </row>
    <row r="27" customFormat="false" ht="15" hidden="false" customHeight="false" outlineLevel="0" collapsed="false">
      <c r="A27" s="18"/>
      <c r="B27" s="18"/>
      <c r="C27" s="12"/>
      <c r="D27" s="18"/>
      <c r="E27" s="18"/>
      <c r="F27" s="18"/>
      <c r="G27" s="12"/>
      <c r="H27" s="12"/>
      <c r="I27" s="18"/>
    </row>
    <row r="28" customFormat="false" ht="15" hidden="false" customHeight="false" outlineLevel="0" collapsed="false">
      <c r="A28" s="18"/>
      <c r="B28" s="18"/>
      <c r="C28" s="12"/>
      <c r="D28" s="18"/>
      <c r="E28" s="18"/>
      <c r="F28" s="18"/>
      <c r="G28" s="12"/>
      <c r="H28" s="12"/>
      <c r="I28" s="18"/>
    </row>
    <row r="29" customFormat="false" ht="15" hidden="false" customHeight="false" outlineLevel="0" collapsed="false">
      <c r="A29" s="18"/>
      <c r="B29" s="18"/>
      <c r="C29" s="12"/>
      <c r="D29" s="18"/>
      <c r="E29" s="18"/>
      <c r="F29" s="18"/>
      <c r="G29" s="12"/>
      <c r="H29" s="12"/>
      <c r="I29" s="18"/>
    </row>
    <row r="30" customFormat="false" ht="15" hidden="false" customHeight="false" outlineLevel="0" collapsed="false">
      <c r="A30" s="18"/>
      <c r="B30" s="18"/>
      <c r="C30" s="12"/>
      <c r="D30" s="18"/>
      <c r="E30" s="18"/>
      <c r="F30" s="18"/>
      <c r="G30" s="12"/>
      <c r="H30" s="12"/>
      <c r="I30" s="18"/>
    </row>
    <row r="31" customFormat="false" ht="15" hidden="false" customHeight="false" outlineLevel="0" collapsed="false">
      <c r="A31" s="18"/>
      <c r="B31" s="18"/>
      <c r="C31" s="12"/>
      <c r="D31" s="18"/>
      <c r="E31" s="18"/>
      <c r="F31" s="18"/>
      <c r="G31" s="12"/>
      <c r="H31" s="12"/>
      <c r="I31" s="18"/>
    </row>
    <row r="32" customFormat="false" ht="15" hidden="false" customHeight="false" outlineLevel="0" collapsed="false">
      <c r="A32" s="18"/>
      <c r="B32" s="18"/>
      <c r="C32" s="12"/>
      <c r="D32" s="18"/>
      <c r="E32" s="18"/>
      <c r="F32" s="18"/>
      <c r="G32" s="12"/>
      <c r="H32" s="12"/>
      <c r="I32" s="18"/>
    </row>
    <row r="33" customFormat="false" ht="15" hidden="false" customHeight="false" outlineLevel="0" collapsed="false">
      <c r="A33" s="18"/>
      <c r="B33" s="18"/>
      <c r="C33" s="12"/>
      <c r="D33" s="18"/>
      <c r="E33" s="18"/>
      <c r="F33" s="18"/>
      <c r="G33" s="12"/>
      <c r="H33" s="12"/>
      <c r="I33" s="18"/>
    </row>
    <row r="34" customFormat="false" ht="15" hidden="false" customHeight="false" outlineLevel="0" collapsed="false">
      <c r="A34" s="18"/>
      <c r="B34" s="18"/>
      <c r="C34" s="12"/>
      <c r="D34" s="18"/>
      <c r="E34" s="18"/>
      <c r="F34" s="18"/>
      <c r="G34" s="12"/>
      <c r="H34" s="12"/>
      <c r="I34" s="18"/>
    </row>
    <row r="35" customFormat="false" ht="15" hidden="false" customHeight="false" outlineLevel="0" collapsed="false">
      <c r="A35" s="18"/>
      <c r="B35" s="18"/>
      <c r="C35" s="12"/>
      <c r="D35" s="18"/>
      <c r="E35" s="18"/>
      <c r="F35" s="18"/>
      <c r="G35" s="12"/>
      <c r="H35" s="12"/>
      <c r="I35" s="18"/>
    </row>
    <row r="36" customFormat="false" ht="15" hidden="false" customHeight="false" outlineLevel="0" collapsed="false">
      <c r="A36" s="18"/>
      <c r="B36" s="18"/>
      <c r="C36" s="12"/>
      <c r="D36" s="18"/>
      <c r="E36" s="18"/>
      <c r="F36" s="18"/>
      <c r="G36" s="12"/>
      <c r="H36" s="12"/>
      <c r="I36" s="18"/>
    </row>
    <row r="37" customFormat="false" ht="15" hidden="false" customHeight="false" outlineLevel="0" collapsed="false">
      <c r="A37" s="18"/>
      <c r="B37" s="18"/>
      <c r="C37" s="12"/>
      <c r="D37" s="18"/>
      <c r="E37" s="18"/>
      <c r="F37" s="18"/>
      <c r="G37" s="12"/>
      <c r="H37" s="12"/>
      <c r="I37" s="18"/>
    </row>
    <row r="38" customFormat="false" ht="15" hidden="false" customHeight="false" outlineLevel="0" collapsed="false">
      <c r="A38" s="18"/>
      <c r="B38" s="18"/>
      <c r="C38" s="12"/>
      <c r="D38" s="18"/>
      <c r="E38" s="18"/>
      <c r="F38" s="18"/>
      <c r="G38" s="12"/>
      <c r="H38" s="12"/>
      <c r="I38" s="18"/>
    </row>
    <row r="39" customFormat="false" ht="15" hidden="false" customHeight="false" outlineLevel="0" collapsed="false">
      <c r="A39" s="18"/>
      <c r="B39" s="18"/>
      <c r="C39" s="12"/>
      <c r="D39" s="18"/>
      <c r="E39" s="18"/>
      <c r="F39" s="18"/>
      <c r="G39" s="12"/>
      <c r="H39" s="12"/>
      <c r="I39" s="18"/>
    </row>
    <row r="40" customFormat="false" ht="15" hidden="false" customHeight="false" outlineLevel="0" collapsed="false">
      <c r="A40" s="18"/>
      <c r="B40" s="18"/>
      <c r="C40" s="12"/>
      <c r="D40" s="18"/>
      <c r="E40" s="18"/>
      <c r="F40" s="18"/>
      <c r="G40" s="12"/>
      <c r="H40" s="12"/>
      <c r="I40" s="18"/>
    </row>
    <row r="41" customFormat="false" ht="15" hidden="false" customHeight="false" outlineLevel="0" collapsed="false">
      <c r="A41" s="18"/>
      <c r="B41" s="18"/>
      <c r="C41" s="12"/>
      <c r="D41" s="18"/>
      <c r="E41" s="18"/>
      <c r="F41" s="18"/>
      <c r="G41" s="12"/>
      <c r="H41" s="12"/>
      <c r="I41" s="18"/>
    </row>
    <row r="42" customFormat="false" ht="15" hidden="false" customHeight="false" outlineLevel="0" collapsed="false">
      <c r="A42" s="18"/>
      <c r="B42" s="18"/>
      <c r="C42" s="12"/>
      <c r="D42" s="18"/>
      <c r="E42" s="18"/>
      <c r="F42" s="18"/>
      <c r="G42" s="12"/>
      <c r="H42" s="12"/>
      <c r="I42" s="18"/>
    </row>
    <row r="43" customFormat="false" ht="15" hidden="false" customHeight="false" outlineLevel="0" collapsed="false">
      <c r="A43" s="18"/>
      <c r="B43" s="18"/>
      <c r="C43" s="12"/>
      <c r="D43" s="18"/>
      <c r="E43" s="18"/>
      <c r="F43" s="18"/>
      <c r="G43" s="12"/>
      <c r="H43" s="12"/>
      <c r="I43" s="18"/>
    </row>
    <row r="44" customFormat="false" ht="15" hidden="false" customHeight="false" outlineLevel="0" collapsed="false">
      <c r="A44" s="18"/>
      <c r="B44" s="18"/>
      <c r="C44" s="12"/>
      <c r="D44" s="18"/>
      <c r="E44" s="18"/>
      <c r="F44" s="18"/>
      <c r="G44" s="12"/>
      <c r="H44" s="12"/>
      <c r="I44" s="18"/>
    </row>
    <row r="45" customFormat="false" ht="15" hidden="false" customHeight="false" outlineLevel="0" collapsed="false">
      <c r="A45" s="18"/>
      <c r="B45" s="18"/>
      <c r="C45" s="12"/>
      <c r="D45" s="18"/>
      <c r="E45" s="18"/>
      <c r="F45" s="18"/>
      <c r="G45" s="12"/>
      <c r="H45" s="12"/>
      <c r="I45" s="18"/>
    </row>
    <row r="46" customFormat="false" ht="15" hidden="false" customHeight="false" outlineLevel="0" collapsed="false">
      <c r="A46" s="18"/>
      <c r="B46" s="18"/>
      <c r="C46" s="12"/>
      <c r="D46" s="18"/>
      <c r="E46" s="18"/>
      <c r="F46" s="18"/>
      <c r="G46" s="12"/>
      <c r="H46" s="12"/>
      <c r="I46" s="18"/>
    </row>
    <row r="47" customFormat="false" ht="15" hidden="false" customHeight="false" outlineLevel="0" collapsed="false">
      <c r="A47" s="18"/>
      <c r="B47" s="18"/>
      <c r="C47" s="12"/>
      <c r="D47" s="18"/>
      <c r="E47" s="18"/>
      <c r="F47" s="18"/>
      <c r="G47" s="12"/>
      <c r="H47" s="12"/>
      <c r="I47" s="18"/>
    </row>
    <row r="48" customFormat="false" ht="15" hidden="false" customHeight="false" outlineLevel="0" collapsed="false">
      <c r="A48" s="18"/>
      <c r="B48" s="18"/>
      <c r="C48" s="12"/>
      <c r="D48" s="18"/>
      <c r="E48" s="18"/>
      <c r="F48" s="18"/>
      <c r="G48" s="12"/>
      <c r="H48" s="12"/>
      <c r="I48" s="18"/>
    </row>
    <row r="49" customFormat="false" ht="15" hidden="false" customHeight="false" outlineLevel="0" collapsed="false">
      <c r="A49" s="18"/>
      <c r="B49" s="18"/>
      <c r="C49" s="12"/>
      <c r="D49" s="18"/>
      <c r="E49" s="18"/>
      <c r="F49" s="18"/>
      <c r="G49" s="12"/>
      <c r="H49" s="12"/>
      <c r="I49" s="18"/>
    </row>
    <row r="50" customFormat="false" ht="15" hidden="false" customHeight="false" outlineLevel="0" collapsed="false">
      <c r="A50" s="18"/>
      <c r="B50" s="18"/>
      <c r="C50" s="12"/>
      <c r="D50" s="18"/>
      <c r="E50" s="18"/>
      <c r="F50" s="18"/>
      <c r="G50" s="12"/>
      <c r="H50" s="12"/>
      <c r="I50" s="18"/>
    </row>
    <row r="51" customFormat="false" ht="15" hidden="false" customHeight="false" outlineLevel="0" collapsed="false">
      <c r="A51" s="18"/>
      <c r="B51" s="18"/>
      <c r="C51" s="12"/>
      <c r="D51" s="18"/>
      <c r="E51" s="18"/>
      <c r="F51" s="18"/>
      <c r="G51" s="12"/>
      <c r="H51" s="12"/>
      <c r="I51" s="18"/>
    </row>
    <row r="52" customFormat="false" ht="15" hidden="false" customHeight="false" outlineLevel="0" collapsed="false">
      <c r="A52" s="18"/>
      <c r="B52" s="18"/>
      <c r="C52" s="12"/>
      <c r="D52" s="18"/>
      <c r="E52" s="18"/>
      <c r="F52" s="18"/>
      <c r="G52" s="12"/>
      <c r="H52" s="12"/>
      <c r="I52" s="18"/>
    </row>
    <row r="53" customFormat="false" ht="15" hidden="false" customHeight="false" outlineLevel="0" collapsed="false">
      <c r="A53" s="18"/>
      <c r="B53" s="18"/>
      <c r="C53" s="12"/>
      <c r="D53" s="18"/>
      <c r="E53" s="18"/>
      <c r="F53" s="18"/>
      <c r="G53" s="12"/>
      <c r="H53" s="12"/>
      <c r="I53" s="18"/>
    </row>
    <row r="54" customFormat="false" ht="15" hidden="false" customHeight="false" outlineLevel="0" collapsed="false">
      <c r="A54" s="18"/>
      <c r="B54" s="18"/>
      <c r="C54" s="12"/>
      <c r="D54" s="18"/>
      <c r="E54" s="18"/>
      <c r="F54" s="18"/>
      <c r="G54" s="12"/>
      <c r="H54" s="12"/>
      <c r="I54" s="18"/>
    </row>
    <row r="55" customFormat="false" ht="15" hidden="false" customHeight="false" outlineLevel="0" collapsed="false">
      <c r="A55" s="18"/>
      <c r="B55" s="18"/>
      <c r="C55" s="12"/>
      <c r="D55" s="18"/>
      <c r="E55" s="18"/>
      <c r="F55" s="18"/>
      <c r="G55" s="12"/>
      <c r="H55" s="12"/>
      <c r="I55" s="18"/>
    </row>
    <row r="56" customFormat="false" ht="15" hidden="false" customHeight="false" outlineLevel="0" collapsed="false">
      <c r="A56" s="18"/>
      <c r="B56" s="18"/>
      <c r="C56" s="12"/>
      <c r="D56" s="18"/>
      <c r="E56" s="18"/>
      <c r="F56" s="18"/>
      <c r="G56" s="12"/>
      <c r="H56" s="12"/>
      <c r="I56" s="18"/>
    </row>
    <row r="57" customFormat="false" ht="15" hidden="false" customHeight="false" outlineLevel="0" collapsed="false">
      <c r="A57" s="18"/>
      <c r="B57" s="18"/>
      <c r="C57" s="12"/>
      <c r="D57" s="18"/>
      <c r="E57" s="18"/>
      <c r="F57" s="18"/>
      <c r="G57" s="12"/>
      <c r="H57" s="12"/>
      <c r="I57" s="18"/>
    </row>
    <row r="58" customFormat="false" ht="15" hidden="false" customHeight="false" outlineLevel="0" collapsed="false">
      <c r="A58" s="18"/>
      <c r="B58" s="18"/>
      <c r="C58" s="12"/>
      <c r="D58" s="18"/>
      <c r="E58" s="18"/>
      <c r="F58" s="18"/>
      <c r="G58" s="12"/>
      <c r="H58" s="12"/>
      <c r="I58" s="18"/>
    </row>
    <row r="59" customFormat="false" ht="15" hidden="false" customHeight="false" outlineLevel="0" collapsed="false">
      <c r="A59" s="18"/>
      <c r="B59" s="18"/>
      <c r="C59" s="12"/>
      <c r="D59" s="18"/>
      <c r="E59" s="18"/>
      <c r="F59" s="18"/>
      <c r="G59" s="12"/>
      <c r="H59" s="12"/>
      <c r="I59" s="18"/>
    </row>
    <row r="60" customFormat="false" ht="15" hidden="false" customHeight="false" outlineLevel="0" collapsed="false">
      <c r="A60" s="18"/>
      <c r="B60" s="18"/>
      <c r="C60" s="12"/>
      <c r="D60" s="18"/>
      <c r="E60" s="18"/>
      <c r="F60" s="18"/>
      <c r="G60" s="12"/>
      <c r="H60" s="12"/>
      <c r="I60" s="18"/>
    </row>
    <row r="61" customFormat="false" ht="15" hidden="false" customHeight="false" outlineLevel="0" collapsed="false">
      <c r="A61" s="18"/>
      <c r="B61" s="18"/>
      <c r="C61" s="12"/>
      <c r="D61" s="18"/>
      <c r="E61" s="18"/>
      <c r="F61" s="18"/>
      <c r="G61" s="12"/>
      <c r="H61" s="12"/>
      <c r="I61" s="18"/>
    </row>
    <row r="62" customFormat="false" ht="15" hidden="false" customHeight="false" outlineLevel="0" collapsed="false">
      <c r="A62" s="18"/>
      <c r="B62" s="18"/>
      <c r="C62" s="12"/>
      <c r="D62" s="18"/>
      <c r="E62" s="18"/>
      <c r="F62" s="18"/>
      <c r="G62" s="12"/>
      <c r="H62" s="12"/>
      <c r="I62" s="18"/>
    </row>
    <row r="63" customFormat="false" ht="15" hidden="false" customHeight="false" outlineLevel="0" collapsed="false">
      <c r="A63" s="18"/>
      <c r="B63" s="18"/>
      <c r="C63" s="12"/>
      <c r="D63" s="18"/>
      <c r="E63" s="18"/>
      <c r="F63" s="18"/>
      <c r="G63" s="12"/>
      <c r="H63" s="12"/>
      <c r="I63" s="18"/>
    </row>
    <row r="64" customFormat="false" ht="15" hidden="false" customHeight="false" outlineLevel="0" collapsed="false">
      <c r="A64" s="18"/>
      <c r="B64" s="18"/>
      <c r="C64" s="12"/>
      <c r="D64" s="18"/>
      <c r="E64" s="18"/>
      <c r="F64" s="18"/>
      <c r="G64" s="12"/>
      <c r="H64" s="12"/>
      <c r="I64" s="18"/>
    </row>
    <row r="65" customFormat="false" ht="15" hidden="false" customHeight="false" outlineLevel="0" collapsed="false">
      <c r="A65" s="18"/>
      <c r="B65" s="18"/>
      <c r="C65" s="12"/>
      <c r="D65" s="18"/>
      <c r="E65" s="18"/>
      <c r="F65" s="18"/>
      <c r="G65" s="12"/>
      <c r="H65" s="12"/>
      <c r="I65" s="18"/>
    </row>
    <row r="66" customFormat="false" ht="15" hidden="false" customHeight="false" outlineLevel="0" collapsed="false">
      <c r="A66" s="18"/>
      <c r="B66" s="18"/>
      <c r="C66" s="12"/>
      <c r="D66" s="18"/>
      <c r="E66" s="18"/>
      <c r="F66" s="18"/>
      <c r="G66" s="12"/>
      <c r="H66" s="12"/>
      <c r="I66" s="18"/>
    </row>
    <row r="67" customFormat="false" ht="15" hidden="false" customHeight="false" outlineLevel="0" collapsed="false">
      <c r="A67" s="18"/>
      <c r="B67" s="18"/>
      <c r="C67" s="12"/>
      <c r="D67" s="18"/>
      <c r="E67" s="18"/>
      <c r="F67" s="18"/>
      <c r="G67" s="12"/>
      <c r="H67" s="12"/>
      <c r="I67" s="18"/>
    </row>
    <row r="68" customFormat="false" ht="15" hidden="false" customHeight="false" outlineLevel="0" collapsed="false">
      <c r="A68" s="18"/>
      <c r="B68" s="18"/>
      <c r="C68" s="12"/>
      <c r="D68" s="18"/>
      <c r="E68" s="18"/>
      <c r="F68" s="18"/>
      <c r="G68" s="12"/>
      <c r="H68" s="12"/>
      <c r="I68" s="18"/>
    </row>
    <row r="69" customFormat="false" ht="15" hidden="false" customHeight="false" outlineLevel="0" collapsed="false">
      <c r="A69" s="18"/>
      <c r="B69" s="18"/>
      <c r="C69" s="12"/>
      <c r="D69" s="18"/>
      <c r="E69" s="18"/>
      <c r="F69" s="18"/>
      <c r="G69" s="12"/>
      <c r="H69" s="12"/>
      <c r="I69" s="18"/>
    </row>
    <row r="70" customFormat="false" ht="15" hidden="false" customHeight="false" outlineLevel="0" collapsed="false">
      <c r="A70" s="18"/>
      <c r="B70" s="18"/>
      <c r="C70" s="12"/>
      <c r="D70" s="18"/>
      <c r="E70" s="18"/>
      <c r="F70" s="18"/>
      <c r="G70" s="12"/>
      <c r="H70" s="12"/>
      <c r="I70" s="18"/>
    </row>
    <row r="71" customFormat="false" ht="15" hidden="false" customHeight="false" outlineLevel="0" collapsed="false">
      <c r="A71" s="18"/>
      <c r="B71" s="18"/>
      <c r="C71" s="12"/>
      <c r="D71" s="18"/>
      <c r="E71" s="18"/>
      <c r="F71" s="18"/>
      <c r="G71" s="12"/>
      <c r="H71" s="12"/>
      <c r="I71" s="18"/>
    </row>
    <row r="72" customFormat="false" ht="15" hidden="false" customHeight="false" outlineLevel="0" collapsed="false">
      <c r="A72" s="18"/>
      <c r="B72" s="18"/>
      <c r="C72" s="12"/>
      <c r="D72" s="18"/>
      <c r="E72" s="18"/>
      <c r="F72" s="18"/>
      <c r="G72" s="12"/>
      <c r="H72" s="12"/>
      <c r="I72" s="18"/>
    </row>
    <row r="73" customFormat="false" ht="15" hidden="false" customHeight="false" outlineLevel="0" collapsed="false">
      <c r="A73" s="18"/>
      <c r="B73" s="18"/>
      <c r="C73" s="12"/>
      <c r="D73" s="18"/>
      <c r="E73" s="18"/>
      <c r="F73" s="18"/>
      <c r="G73" s="12"/>
      <c r="H73" s="12"/>
      <c r="I73" s="18"/>
    </row>
    <row r="74" customFormat="false" ht="15" hidden="false" customHeight="false" outlineLevel="0" collapsed="false">
      <c r="A74" s="18"/>
      <c r="B74" s="18"/>
      <c r="C74" s="12"/>
      <c r="D74" s="18"/>
      <c r="E74" s="18"/>
      <c r="F74" s="18"/>
      <c r="G74" s="12"/>
      <c r="H74" s="12"/>
      <c r="I74" s="18"/>
    </row>
    <row r="75" customFormat="false" ht="15" hidden="false" customHeight="false" outlineLevel="0" collapsed="false">
      <c r="A75" s="18"/>
      <c r="B75" s="18"/>
      <c r="C75" s="12"/>
      <c r="D75" s="18"/>
      <c r="E75" s="18"/>
      <c r="F75" s="18"/>
      <c r="G75" s="12"/>
      <c r="H75" s="12"/>
      <c r="I75" s="18"/>
    </row>
    <row r="76" customFormat="false" ht="15" hidden="false" customHeight="false" outlineLevel="0" collapsed="false">
      <c r="A76" s="18"/>
      <c r="B76" s="18"/>
      <c r="C76" s="12"/>
      <c r="D76" s="18"/>
      <c r="E76" s="18"/>
      <c r="F76" s="18"/>
      <c r="G76" s="12"/>
      <c r="H76" s="12"/>
      <c r="I76" s="18"/>
    </row>
    <row r="77" customFormat="false" ht="15" hidden="false" customHeight="false" outlineLevel="0" collapsed="false">
      <c r="A77" s="18"/>
      <c r="B77" s="18"/>
      <c r="C77" s="12"/>
      <c r="D77" s="18"/>
      <c r="E77" s="18"/>
      <c r="F77" s="18"/>
      <c r="G77" s="12"/>
      <c r="H77" s="12"/>
      <c r="I77" s="18"/>
    </row>
    <row r="78" customFormat="false" ht="15" hidden="false" customHeight="false" outlineLevel="0" collapsed="false">
      <c r="A78" s="18"/>
      <c r="B78" s="18"/>
      <c r="C78" s="12"/>
      <c r="D78" s="18"/>
      <c r="E78" s="18"/>
      <c r="F78" s="18"/>
      <c r="G78" s="12"/>
      <c r="H78" s="12"/>
      <c r="I78" s="18"/>
    </row>
    <row r="79" customFormat="false" ht="15" hidden="false" customHeight="false" outlineLevel="0" collapsed="false">
      <c r="A79" s="18"/>
      <c r="B79" s="18"/>
      <c r="C79" s="12"/>
      <c r="D79" s="18"/>
      <c r="E79" s="18"/>
      <c r="F79" s="18"/>
      <c r="G79" s="12"/>
      <c r="H79" s="12"/>
      <c r="I79" s="18"/>
    </row>
    <row r="80" customFormat="false" ht="15" hidden="false" customHeight="false" outlineLevel="0" collapsed="false">
      <c r="A80" s="18"/>
      <c r="B80" s="18"/>
      <c r="C80" s="12"/>
      <c r="D80" s="18"/>
      <c r="E80" s="18"/>
      <c r="F80" s="18"/>
      <c r="G80" s="12"/>
      <c r="H80" s="12"/>
      <c r="I80" s="18"/>
    </row>
    <row r="81" customFormat="false" ht="15" hidden="false" customHeight="false" outlineLevel="0" collapsed="false">
      <c r="A81" s="18"/>
      <c r="B81" s="18"/>
      <c r="C81" s="12"/>
      <c r="D81" s="18"/>
      <c r="E81" s="18"/>
      <c r="F81" s="18"/>
      <c r="G81" s="12"/>
      <c r="H81" s="12"/>
      <c r="I81" s="18"/>
    </row>
    <row r="82" customFormat="false" ht="15" hidden="false" customHeight="false" outlineLevel="0" collapsed="false">
      <c r="A82" s="18"/>
      <c r="B82" s="18"/>
      <c r="C82" s="12"/>
      <c r="D82" s="18"/>
      <c r="E82" s="18"/>
      <c r="F82" s="18"/>
      <c r="G82" s="12"/>
      <c r="H82" s="12"/>
      <c r="I82" s="18"/>
    </row>
    <row r="83" customFormat="false" ht="15" hidden="false" customHeight="false" outlineLevel="0" collapsed="false">
      <c r="A83" s="18"/>
      <c r="B83" s="18"/>
      <c r="C83" s="12"/>
      <c r="D83" s="18"/>
      <c r="E83" s="18"/>
      <c r="F83" s="18"/>
      <c r="G83" s="12"/>
      <c r="H83" s="12"/>
      <c r="I83" s="18"/>
    </row>
    <row r="84" customFormat="false" ht="15" hidden="false" customHeight="false" outlineLevel="0" collapsed="false">
      <c r="A84" s="18"/>
      <c r="B84" s="18"/>
      <c r="C84" s="12"/>
      <c r="D84" s="18"/>
      <c r="E84" s="18"/>
      <c r="F84" s="18"/>
      <c r="G84" s="12"/>
      <c r="H84" s="12"/>
      <c r="I84" s="18"/>
    </row>
    <row r="85" customFormat="false" ht="15" hidden="false" customHeight="false" outlineLevel="0" collapsed="false">
      <c r="A85" s="18"/>
      <c r="B85" s="18"/>
      <c r="C85" s="12"/>
      <c r="D85" s="18"/>
      <c r="E85" s="18"/>
      <c r="F85" s="18"/>
      <c r="G85" s="12"/>
      <c r="H85" s="12"/>
      <c r="I85" s="18"/>
    </row>
    <row r="86" customFormat="false" ht="15" hidden="false" customHeight="false" outlineLevel="0" collapsed="false">
      <c r="A86" s="18"/>
      <c r="B86" s="18"/>
      <c r="C86" s="12"/>
      <c r="D86" s="18"/>
      <c r="E86" s="18"/>
      <c r="F86" s="18"/>
      <c r="G86" s="12"/>
      <c r="H86" s="12"/>
      <c r="I86" s="18"/>
    </row>
    <row r="87" customFormat="false" ht="15" hidden="false" customHeight="false" outlineLevel="0" collapsed="false">
      <c r="A87" s="18"/>
      <c r="B87" s="18"/>
      <c r="C87" s="12"/>
      <c r="D87" s="18"/>
      <c r="E87" s="18"/>
      <c r="F87" s="18"/>
      <c r="G87" s="12"/>
      <c r="H87" s="12"/>
      <c r="I87" s="18"/>
    </row>
    <row r="88" customFormat="false" ht="15" hidden="false" customHeight="false" outlineLevel="0" collapsed="false">
      <c r="A88" s="18"/>
      <c r="B88" s="18"/>
      <c r="C88" s="12"/>
      <c r="D88" s="18"/>
      <c r="E88" s="18"/>
      <c r="F88" s="18"/>
      <c r="G88" s="12"/>
      <c r="H88" s="12"/>
      <c r="I88" s="18"/>
    </row>
    <row r="89" customFormat="false" ht="15" hidden="false" customHeight="false" outlineLevel="0" collapsed="false">
      <c r="A89" s="18"/>
      <c r="B89" s="18"/>
      <c r="C89" s="12"/>
      <c r="D89" s="18"/>
      <c r="E89" s="18"/>
      <c r="F89" s="18"/>
      <c r="G89" s="12"/>
      <c r="H89" s="12"/>
      <c r="I89" s="18"/>
    </row>
    <row r="90" customFormat="false" ht="15" hidden="false" customHeight="false" outlineLevel="0" collapsed="false">
      <c r="A90" s="18"/>
      <c r="B90" s="18"/>
      <c r="C90" s="12"/>
      <c r="D90" s="18"/>
      <c r="E90" s="18"/>
      <c r="F90" s="18"/>
      <c r="G90" s="12"/>
      <c r="H90" s="12"/>
      <c r="I90" s="18"/>
    </row>
    <row r="91" customFormat="false" ht="15" hidden="false" customHeight="false" outlineLevel="0" collapsed="false">
      <c r="A91" s="18"/>
      <c r="B91" s="18"/>
      <c r="C91" s="12"/>
      <c r="D91" s="18"/>
      <c r="E91" s="18"/>
      <c r="F91" s="18"/>
      <c r="G91" s="12"/>
      <c r="H91" s="12"/>
      <c r="I91" s="18"/>
    </row>
    <row r="92" customFormat="false" ht="15" hidden="false" customHeight="false" outlineLevel="0" collapsed="false">
      <c r="A92" s="18"/>
      <c r="B92" s="18"/>
      <c r="C92" s="12"/>
      <c r="D92" s="18"/>
      <c r="E92" s="18"/>
      <c r="F92" s="18"/>
      <c r="G92" s="12"/>
      <c r="H92" s="12"/>
      <c r="I92" s="18"/>
    </row>
    <row r="93" customFormat="false" ht="15" hidden="false" customHeight="false" outlineLevel="0" collapsed="false">
      <c r="A93" s="18"/>
      <c r="B93" s="18"/>
      <c r="C93" s="12"/>
      <c r="D93" s="18"/>
      <c r="E93" s="18"/>
      <c r="F93" s="18"/>
      <c r="G93" s="12"/>
      <c r="H93" s="12"/>
      <c r="I93" s="18"/>
    </row>
    <row r="94" customFormat="false" ht="15" hidden="false" customHeight="false" outlineLevel="0" collapsed="false">
      <c r="A94" s="18"/>
      <c r="B94" s="18"/>
      <c r="C94" s="12"/>
      <c r="D94" s="18"/>
      <c r="E94" s="18"/>
      <c r="F94" s="18"/>
      <c r="G94" s="12"/>
      <c r="H94" s="12"/>
      <c r="I94" s="18"/>
    </row>
    <row r="95" customFormat="false" ht="15" hidden="false" customHeight="false" outlineLevel="0" collapsed="false">
      <c r="A95" s="18"/>
      <c r="B95" s="18"/>
      <c r="C95" s="12"/>
      <c r="D95" s="18"/>
      <c r="E95" s="18"/>
      <c r="F95" s="18"/>
      <c r="G95" s="12"/>
      <c r="H95" s="12"/>
      <c r="I95" s="18"/>
    </row>
    <row r="96" customFormat="false" ht="15" hidden="false" customHeight="false" outlineLevel="0" collapsed="false">
      <c r="A96" s="18"/>
      <c r="B96" s="18"/>
      <c r="C96" s="12"/>
      <c r="D96" s="18"/>
      <c r="E96" s="18"/>
      <c r="F96" s="18"/>
      <c r="G96" s="12"/>
      <c r="H96" s="12"/>
      <c r="I96" s="18"/>
    </row>
    <row r="97" customFormat="false" ht="15" hidden="false" customHeight="false" outlineLevel="0" collapsed="false">
      <c r="A97" s="18"/>
      <c r="B97" s="18"/>
      <c r="C97" s="12"/>
      <c r="D97" s="18"/>
      <c r="E97" s="18"/>
      <c r="F97" s="18"/>
      <c r="G97" s="12"/>
      <c r="H97" s="12"/>
      <c r="I97" s="18"/>
    </row>
    <row r="98" customFormat="false" ht="15" hidden="false" customHeight="false" outlineLevel="0" collapsed="false">
      <c r="A98" s="18"/>
      <c r="B98" s="18"/>
      <c r="C98" s="12"/>
      <c r="D98" s="18"/>
      <c r="E98" s="18"/>
      <c r="F98" s="18"/>
      <c r="G98" s="12"/>
      <c r="H98" s="12"/>
      <c r="I98" s="18"/>
    </row>
    <row r="99" customFormat="false" ht="15" hidden="false" customHeight="false" outlineLevel="0" collapsed="false">
      <c r="A99" s="18"/>
      <c r="B99" s="18"/>
      <c r="C99" s="12"/>
      <c r="D99" s="18"/>
      <c r="E99" s="18"/>
      <c r="F99" s="18"/>
      <c r="G99" s="12"/>
      <c r="H99" s="12"/>
      <c r="I99" s="18"/>
    </row>
    <row r="100" customFormat="false" ht="15" hidden="false" customHeight="false" outlineLevel="0" collapsed="false">
      <c r="A100" s="18"/>
      <c r="B100" s="18"/>
      <c r="C100" s="12"/>
      <c r="D100" s="18"/>
      <c r="E100" s="18"/>
      <c r="F100" s="18"/>
      <c r="G100" s="12"/>
      <c r="H100" s="12"/>
      <c r="I100" s="18"/>
    </row>
    <row r="101" customFormat="false" ht="15" hidden="false" customHeight="false" outlineLevel="0" collapsed="false">
      <c r="A101" s="18"/>
      <c r="B101" s="18"/>
      <c r="C101" s="12"/>
      <c r="D101" s="18"/>
      <c r="E101" s="18"/>
      <c r="F101" s="18"/>
      <c r="G101" s="12"/>
      <c r="H101" s="12"/>
      <c r="I101" s="18"/>
    </row>
    <row r="102" customFormat="false" ht="15" hidden="false" customHeight="false" outlineLevel="0" collapsed="false">
      <c r="A102" s="18"/>
      <c r="B102" s="18"/>
      <c r="C102" s="12"/>
      <c r="D102" s="18"/>
      <c r="E102" s="18"/>
      <c r="F102" s="18"/>
      <c r="G102" s="12"/>
      <c r="H102" s="12"/>
      <c r="I102" s="18"/>
    </row>
    <row r="103" customFormat="false" ht="15" hidden="false" customHeight="false" outlineLevel="0" collapsed="false">
      <c r="A103" s="18"/>
      <c r="B103" s="18"/>
      <c r="C103" s="12"/>
      <c r="D103" s="18"/>
      <c r="E103" s="18"/>
      <c r="F103" s="18"/>
      <c r="G103" s="12"/>
      <c r="H103" s="12"/>
      <c r="I103" s="18"/>
    </row>
    <row r="104" customFormat="false" ht="15" hidden="false" customHeight="false" outlineLevel="0" collapsed="false">
      <c r="A104" s="18"/>
      <c r="B104" s="18"/>
      <c r="C104" s="12"/>
      <c r="D104" s="18"/>
      <c r="E104" s="18"/>
      <c r="F104" s="18"/>
      <c r="G104" s="12"/>
      <c r="H104" s="12"/>
      <c r="I104" s="18"/>
    </row>
    <row r="105" customFormat="false" ht="15" hidden="false" customHeight="false" outlineLevel="0" collapsed="false">
      <c r="A105" s="18"/>
      <c r="B105" s="18"/>
      <c r="C105" s="12"/>
      <c r="D105" s="18"/>
      <c r="E105" s="18"/>
      <c r="F105" s="18"/>
      <c r="G105" s="12"/>
      <c r="H105" s="12"/>
      <c r="I105" s="18"/>
    </row>
    <row r="106" customFormat="false" ht="15" hidden="false" customHeight="false" outlineLevel="0" collapsed="false">
      <c r="A106" s="18"/>
      <c r="B106" s="18"/>
      <c r="C106" s="12"/>
      <c r="D106" s="18"/>
      <c r="E106" s="18"/>
      <c r="F106" s="18"/>
      <c r="G106" s="12"/>
      <c r="H106" s="12"/>
      <c r="I106" s="18"/>
    </row>
    <row r="107" customFormat="false" ht="15" hidden="false" customHeight="false" outlineLevel="0" collapsed="false">
      <c r="A107" s="18"/>
      <c r="B107" s="18"/>
      <c r="C107" s="12"/>
      <c r="D107" s="18"/>
      <c r="E107" s="18"/>
      <c r="F107" s="18"/>
      <c r="G107" s="12"/>
      <c r="H107" s="12"/>
      <c r="I107" s="18"/>
    </row>
    <row r="108" customFormat="false" ht="15" hidden="false" customHeight="false" outlineLevel="0" collapsed="false">
      <c r="A108" s="18"/>
      <c r="B108" s="18"/>
      <c r="C108" s="12"/>
      <c r="D108" s="18"/>
      <c r="E108" s="18"/>
      <c r="F108" s="18"/>
      <c r="G108" s="12"/>
      <c r="H108" s="12"/>
      <c r="I108" s="18"/>
    </row>
    <row r="109" customFormat="false" ht="15" hidden="false" customHeight="false" outlineLevel="0" collapsed="false">
      <c r="A109" s="18"/>
      <c r="B109" s="18"/>
      <c r="C109" s="12"/>
      <c r="D109" s="18"/>
      <c r="E109" s="18"/>
      <c r="F109" s="18"/>
      <c r="G109" s="12"/>
      <c r="H109" s="12"/>
      <c r="I109" s="18"/>
    </row>
    <row r="110" customFormat="false" ht="15" hidden="false" customHeight="false" outlineLevel="0" collapsed="false">
      <c r="A110" s="18"/>
      <c r="B110" s="18"/>
      <c r="C110" s="12"/>
      <c r="D110" s="18"/>
      <c r="E110" s="18"/>
      <c r="F110" s="18"/>
      <c r="G110" s="12"/>
      <c r="H110" s="12"/>
      <c r="I110" s="18"/>
    </row>
    <row r="111" customFormat="false" ht="15" hidden="false" customHeight="false" outlineLevel="0" collapsed="false">
      <c r="A111" s="18"/>
      <c r="B111" s="18"/>
      <c r="C111" s="12"/>
      <c r="D111" s="18"/>
      <c r="E111" s="18"/>
      <c r="F111" s="18"/>
      <c r="G111" s="12"/>
      <c r="H111" s="12"/>
      <c r="I111" s="18"/>
    </row>
    <row r="112" customFormat="false" ht="15" hidden="false" customHeight="false" outlineLevel="0" collapsed="false">
      <c r="A112" s="18"/>
      <c r="B112" s="18"/>
      <c r="C112" s="12"/>
      <c r="D112" s="18"/>
      <c r="E112" s="18"/>
      <c r="F112" s="18"/>
      <c r="G112" s="12"/>
      <c r="H112" s="12"/>
      <c r="I112" s="18"/>
    </row>
    <row r="113" customFormat="false" ht="15" hidden="false" customHeight="false" outlineLevel="0" collapsed="false">
      <c r="A113" s="18"/>
      <c r="B113" s="18"/>
      <c r="C113" s="12"/>
      <c r="D113" s="18"/>
      <c r="E113" s="18"/>
      <c r="F113" s="18"/>
      <c r="G113" s="12"/>
      <c r="H113" s="12"/>
      <c r="I113" s="18"/>
    </row>
    <row r="114" customFormat="false" ht="15" hidden="false" customHeight="false" outlineLevel="0" collapsed="false">
      <c r="A114" s="18"/>
      <c r="B114" s="18"/>
      <c r="C114" s="12"/>
      <c r="D114" s="18"/>
      <c r="E114" s="18"/>
      <c r="F114" s="18"/>
      <c r="G114" s="12"/>
      <c r="H114" s="12"/>
      <c r="I114" s="18"/>
    </row>
    <row r="115" customFormat="false" ht="15" hidden="false" customHeight="false" outlineLevel="0" collapsed="false">
      <c r="A115" s="18"/>
      <c r="B115" s="18"/>
      <c r="C115" s="12"/>
      <c r="D115" s="18"/>
      <c r="E115" s="18"/>
      <c r="F115" s="18"/>
      <c r="G115" s="12"/>
      <c r="H115" s="12"/>
      <c r="I115" s="18"/>
    </row>
    <row r="116" customFormat="false" ht="15" hidden="false" customHeight="false" outlineLevel="0" collapsed="false">
      <c r="A116" s="18"/>
      <c r="B116" s="18"/>
      <c r="C116" s="12"/>
      <c r="D116" s="18"/>
      <c r="E116" s="18"/>
      <c r="F116" s="18"/>
      <c r="G116" s="12"/>
      <c r="H116" s="12"/>
      <c r="I116" s="18"/>
    </row>
    <row r="117" customFormat="false" ht="15" hidden="false" customHeight="false" outlineLevel="0" collapsed="false">
      <c r="A117" s="18"/>
      <c r="B117" s="18"/>
      <c r="C117" s="12"/>
      <c r="D117" s="18"/>
      <c r="E117" s="18"/>
      <c r="F117" s="18"/>
      <c r="G117" s="12"/>
      <c r="H117" s="12"/>
      <c r="I117" s="18"/>
    </row>
    <row r="118" customFormat="false" ht="15" hidden="false" customHeight="false" outlineLevel="0" collapsed="false">
      <c r="A118" s="18"/>
      <c r="B118" s="18"/>
      <c r="C118" s="12"/>
      <c r="D118" s="18"/>
      <c r="E118" s="18"/>
      <c r="F118" s="18"/>
      <c r="G118" s="12"/>
      <c r="H118" s="12"/>
      <c r="I118" s="18"/>
    </row>
    <row r="119" customFormat="false" ht="15" hidden="false" customHeight="false" outlineLevel="0" collapsed="false">
      <c r="A119" s="18"/>
      <c r="B119" s="18"/>
      <c r="C119" s="12"/>
      <c r="D119" s="18"/>
      <c r="E119" s="18"/>
      <c r="F119" s="18"/>
      <c r="G119" s="12"/>
      <c r="H119" s="12"/>
      <c r="I119" s="18"/>
    </row>
    <row r="120" customFormat="false" ht="15" hidden="false" customHeight="false" outlineLevel="0" collapsed="false">
      <c r="A120" s="18"/>
      <c r="B120" s="18"/>
      <c r="C120" s="12"/>
      <c r="D120" s="18"/>
      <c r="E120" s="18"/>
      <c r="F120" s="18"/>
      <c r="G120" s="12"/>
      <c r="H120" s="12"/>
      <c r="I120" s="18"/>
    </row>
    <row r="121" customFormat="false" ht="15" hidden="false" customHeight="false" outlineLevel="0" collapsed="false">
      <c r="A121" s="18"/>
      <c r="B121" s="18"/>
      <c r="C121" s="12"/>
      <c r="D121" s="18"/>
      <c r="E121" s="18"/>
      <c r="F121" s="18"/>
      <c r="G121" s="12"/>
      <c r="H121" s="12"/>
      <c r="I121" s="18"/>
    </row>
    <row r="122" customFormat="false" ht="15" hidden="false" customHeight="false" outlineLevel="0" collapsed="false">
      <c r="A122" s="18"/>
      <c r="B122" s="18"/>
      <c r="C122" s="12"/>
      <c r="D122" s="18"/>
      <c r="E122" s="18"/>
      <c r="F122" s="18"/>
      <c r="G122" s="12"/>
      <c r="H122" s="12"/>
      <c r="I122" s="18"/>
    </row>
    <row r="123" customFormat="false" ht="15" hidden="false" customHeight="false" outlineLevel="0" collapsed="false">
      <c r="A123" s="18"/>
      <c r="B123" s="18"/>
      <c r="C123" s="12"/>
      <c r="D123" s="18"/>
      <c r="E123" s="18"/>
      <c r="F123" s="18"/>
      <c r="G123" s="12"/>
      <c r="H123" s="12"/>
      <c r="I123" s="18"/>
    </row>
    <row r="124" customFormat="false" ht="15" hidden="false" customHeight="false" outlineLevel="0" collapsed="false">
      <c r="A124" s="18"/>
      <c r="B124" s="18"/>
      <c r="C124" s="12"/>
      <c r="D124" s="18"/>
      <c r="E124" s="18"/>
      <c r="F124" s="18"/>
      <c r="G124" s="12"/>
      <c r="H124" s="12"/>
      <c r="I124" s="18"/>
    </row>
    <row r="125" customFormat="false" ht="15" hidden="false" customHeight="false" outlineLevel="0" collapsed="false">
      <c r="A125" s="18"/>
      <c r="B125" s="18"/>
      <c r="C125" s="12"/>
      <c r="D125" s="18"/>
      <c r="E125" s="18"/>
      <c r="F125" s="18"/>
      <c r="G125" s="12"/>
      <c r="H125" s="12"/>
      <c r="I125" s="18"/>
    </row>
    <row r="126" customFormat="false" ht="15" hidden="false" customHeight="false" outlineLevel="0" collapsed="false">
      <c r="A126" s="18"/>
      <c r="B126" s="18"/>
      <c r="C126" s="12"/>
      <c r="D126" s="18"/>
      <c r="E126" s="18"/>
      <c r="F126" s="18"/>
      <c r="G126" s="12"/>
      <c r="H126" s="12"/>
      <c r="I126" s="18"/>
    </row>
    <row r="127" customFormat="false" ht="15" hidden="false" customHeight="false" outlineLevel="0" collapsed="false">
      <c r="A127" s="18"/>
      <c r="B127" s="18"/>
      <c r="C127" s="12"/>
      <c r="D127" s="18"/>
      <c r="E127" s="18"/>
      <c r="F127" s="18"/>
      <c r="G127" s="12"/>
      <c r="H127" s="12"/>
      <c r="I127" s="18"/>
    </row>
    <row r="128" customFormat="false" ht="15" hidden="false" customHeight="false" outlineLevel="0" collapsed="false">
      <c r="A128" s="18"/>
      <c r="B128" s="18"/>
      <c r="C128" s="12"/>
      <c r="D128" s="18"/>
      <c r="E128" s="18"/>
      <c r="F128" s="18"/>
      <c r="G128" s="12"/>
      <c r="H128" s="12"/>
      <c r="I128" s="18"/>
    </row>
    <row r="129" customFormat="false" ht="15" hidden="false" customHeight="false" outlineLevel="0" collapsed="false">
      <c r="A129" s="18"/>
      <c r="B129" s="18"/>
      <c r="C129" s="12"/>
      <c r="D129" s="18"/>
      <c r="E129" s="18"/>
      <c r="F129" s="18"/>
      <c r="G129" s="12"/>
      <c r="H129" s="12"/>
      <c r="I129" s="18"/>
    </row>
    <row r="130" customFormat="false" ht="15" hidden="false" customHeight="false" outlineLevel="0" collapsed="false">
      <c r="A130" s="18"/>
      <c r="B130" s="18"/>
      <c r="C130" s="12"/>
      <c r="D130" s="18"/>
      <c r="E130" s="18"/>
      <c r="F130" s="18"/>
      <c r="G130" s="12"/>
      <c r="H130" s="12"/>
      <c r="I130" s="18"/>
    </row>
    <row r="131" customFormat="false" ht="15" hidden="false" customHeight="false" outlineLevel="0" collapsed="false">
      <c r="A131" s="18"/>
      <c r="B131" s="18"/>
      <c r="C131" s="12"/>
      <c r="D131" s="18"/>
      <c r="E131" s="18"/>
      <c r="F131" s="18"/>
      <c r="G131" s="12"/>
      <c r="H131" s="12"/>
      <c r="I131" s="18"/>
    </row>
    <row r="132" customFormat="false" ht="15" hidden="false" customHeight="false" outlineLevel="0" collapsed="false">
      <c r="A132" s="18"/>
      <c r="B132" s="18"/>
      <c r="C132" s="12"/>
      <c r="D132" s="18"/>
      <c r="E132" s="18"/>
      <c r="F132" s="18"/>
      <c r="G132" s="12"/>
      <c r="H132" s="12"/>
      <c r="I132" s="18"/>
    </row>
    <row r="133" customFormat="false" ht="15" hidden="false" customHeight="false" outlineLevel="0" collapsed="false">
      <c r="A133" s="18"/>
      <c r="B133" s="18"/>
      <c r="C133" s="12"/>
      <c r="D133" s="18"/>
      <c r="E133" s="18"/>
      <c r="F133" s="18"/>
      <c r="G133" s="12"/>
      <c r="H133" s="12"/>
      <c r="I133" s="18"/>
    </row>
    <row r="134" customFormat="false" ht="15" hidden="false" customHeight="false" outlineLevel="0" collapsed="false">
      <c r="A134" s="18"/>
      <c r="B134" s="18"/>
      <c r="C134" s="12"/>
      <c r="D134" s="18"/>
      <c r="E134" s="18"/>
      <c r="F134" s="18"/>
      <c r="G134" s="12"/>
      <c r="H134" s="12"/>
      <c r="I134" s="18"/>
    </row>
    <row r="135" customFormat="false" ht="15" hidden="false" customHeight="false" outlineLevel="0" collapsed="false">
      <c r="A135" s="18"/>
      <c r="B135" s="18"/>
      <c r="C135" s="12"/>
      <c r="D135" s="18"/>
      <c r="E135" s="18"/>
      <c r="F135" s="18"/>
      <c r="G135" s="12"/>
      <c r="H135" s="12"/>
      <c r="I135" s="18"/>
    </row>
    <row r="136" customFormat="false" ht="15" hidden="false" customHeight="false" outlineLevel="0" collapsed="false">
      <c r="A136" s="18"/>
      <c r="B136" s="18"/>
      <c r="C136" s="12"/>
      <c r="D136" s="18"/>
      <c r="E136" s="18"/>
      <c r="F136" s="18"/>
      <c r="G136" s="12"/>
      <c r="H136" s="12"/>
      <c r="I136" s="18"/>
    </row>
    <row r="137" customFormat="false" ht="15" hidden="false" customHeight="false" outlineLevel="0" collapsed="false">
      <c r="A137" s="18"/>
      <c r="B137" s="18"/>
      <c r="C137" s="12"/>
      <c r="D137" s="18"/>
      <c r="E137" s="18"/>
      <c r="F137" s="18"/>
      <c r="G137" s="12"/>
      <c r="H137" s="12"/>
      <c r="I137" s="18"/>
    </row>
    <row r="138" customFormat="false" ht="15" hidden="false" customHeight="false" outlineLevel="0" collapsed="false">
      <c r="A138" s="18"/>
      <c r="B138" s="18"/>
      <c r="C138" s="12"/>
      <c r="D138" s="18"/>
      <c r="E138" s="18"/>
      <c r="F138" s="18"/>
      <c r="G138" s="12"/>
      <c r="H138" s="12"/>
      <c r="I138" s="18"/>
    </row>
    <row r="139" customFormat="false" ht="15" hidden="false" customHeight="false" outlineLevel="0" collapsed="false">
      <c r="A139" s="18"/>
      <c r="B139" s="18"/>
      <c r="C139" s="12"/>
      <c r="D139" s="18"/>
      <c r="E139" s="18"/>
      <c r="F139" s="18"/>
      <c r="G139" s="12"/>
      <c r="H139" s="12"/>
      <c r="I139" s="18"/>
    </row>
    <row r="140" customFormat="false" ht="15" hidden="false" customHeight="false" outlineLevel="0" collapsed="false">
      <c r="A140" s="18"/>
      <c r="B140" s="18"/>
      <c r="C140" s="12"/>
      <c r="D140" s="18"/>
      <c r="E140" s="18"/>
      <c r="F140" s="18"/>
      <c r="G140" s="12"/>
      <c r="H140" s="12"/>
      <c r="I140" s="18"/>
    </row>
    <row r="141" customFormat="false" ht="15" hidden="false" customHeight="false" outlineLevel="0" collapsed="false">
      <c r="A141" s="18"/>
      <c r="B141" s="18"/>
      <c r="C141" s="12"/>
      <c r="D141" s="18"/>
      <c r="E141" s="18"/>
      <c r="F141" s="18"/>
      <c r="G141" s="12"/>
      <c r="H141" s="12"/>
      <c r="I141" s="18"/>
    </row>
    <row r="142" customFormat="false" ht="15" hidden="false" customHeight="false" outlineLevel="0" collapsed="false">
      <c r="A142" s="18"/>
      <c r="B142" s="18"/>
      <c r="C142" s="12"/>
      <c r="D142" s="18"/>
      <c r="E142" s="18"/>
      <c r="F142" s="18"/>
      <c r="G142" s="12"/>
      <c r="H142" s="12"/>
      <c r="I142" s="18"/>
    </row>
    <row r="143" customFormat="false" ht="15" hidden="false" customHeight="false" outlineLevel="0" collapsed="false">
      <c r="A143" s="18"/>
      <c r="B143" s="18"/>
      <c r="C143" s="12"/>
      <c r="D143" s="18"/>
      <c r="E143" s="18"/>
      <c r="F143" s="18"/>
      <c r="G143" s="12"/>
      <c r="H143" s="12"/>
      <c r="I143" s="18"/>
    </row>
    <row r="144" customFormat="false" ht="15" hidden="false" customHeight="false" outlineLevel="0" collapsed="false">
      <c r="A144" s="18"/>
      <c r="B144" s="18"/>
      <c r="C144" s="12"/>
      <c r="D144" s="18"/>
      <c r="E144" s="18"/>
      <c r="F144" s="18"/>
      <c r="G144" s="12"/>
      <c r="H144" s="12"/>
      <c r="I144" s="18"/>
    </row>
    <row r="145" customFormat="false" ht="15" hidden="false" customHeight="false" outlineLevel="0" collapsed="false">
      <c r="A145" s="18"/>
      <c r="B145" s="18"/>
      <c r="C145" s="12"/>
      <c r="D145" s="18"/>
      <c r="E145" s="18"/>
      <c r="F145" s="18"/>
      <c r="G145" s="12"/>
      <c r="H145" s="12"/>
      <c r="I145" s="18"/>
    </row>
    <row r="146" customFormat="false" ht="15" hidden="false" customHeight="false" outlineLevel="0" collapsed="false">
      <c r="A146" s="18"/>
      <c r="B146" s="18"/>
      <c r="C146" s="12"/>
      <c r="D146" s="18"/>
      <c r="E146" s="18"/>
      <c r="F146" s="18"/>
      <c r="G146" s="12"/>
      <c r="H146" s="12"/>
      <c r="I146" s="18"/>
    </row>
    <row r="147" customFormat="false" ht="15" hidden="false" customHeight="false" outlineLevel="0" collapsed="false">
      <c r="A147" s="18"/>
      <c r="B147" s="18"/>
      <c r="C147" s="12"/>
      <c r="D147" s="18"/>
      <c r="E147" s="18"/>
      <c r="F147" s="18"/>
      <c r="G147" s="12"/>
      <c r="H147" s="12"/>
      <c r="I147" s="18"/>
    </row>
    <row r="148" customFormat="false" ht="15" hidden="false" customHeight="false" outlineLevel="0" collapsed="false">
      <c r="A148" s="18"/>
      <c r="B148" s="18"/>
      <c r="C148" s="12"/>
      <c r="D148" s="18"/>
      <c r="E148" s="18"/>
      <c r="F148" s="18"/>
      <c r="G148" s="12"/>
      <c r="H148" s="12"/>
      <c r="I148" s="18"/>
    </row>
    <row r="149" customFormat="false" ht="15" hidden="false" customHeight="false" outlineLevel="0" collapsed="false">
      <c r="A149" s="18"/>
      <c r="B149" s="18"/>
      <c r="C149" s="12"/>
      <c r="D149" s="18"/>
      <c r="E149" s="18"/>
      <c r="F149" s="18"/>
      <c r="G149" s="12"/>
      <c r="H149" s="12"/>
      <c r="I149" s="18"/>
    </row>
    <row r="150" customFormat="false" ht="15" hidden="false" customHeight="false" outlineLevel="0" collapsed="false">
      <c r="A150" s="18"/>
      <c r="B150" s="18"/>
      <c r="C150" s="12"/>
      <c r="D150" s="18"/>
      <c r="E150" s="18"/>
      <c r="F150" s="18"/>
      <c r="G150" s="12"/>
      <c r="H150" s="12"/>
      <c r="I150" s="18"/>
    </row>
    <row r="151" customFormat="false" ht="15" hidden="false" customHeight="false" outlineLevel="0" collapsed="false">
      <c r="A151" s="18"/>
      <c r="B151" s="18"/>
      <c r="C151" s="12"/>
      <c r="D151" s="18"/>
      <c r="E151" s="18"/>
      <c r="F151" s="18"/>
      <c r="G151" s="12"/>
      <c r="H151" s="12"/>
      <c r="I151" s="18"/>
    </row>
    <row r="152" customFormat="false" ht="15" hidden="false" customHeight="false" outlineLevel="0" collapsed="false">
      <c r="A152" s="18"/>
      <c r="B152" s="18"/>
      <c r="C152" s="12"/>
      <c r="D152" s="18"/>
      <c r="E152" s="18"/>
      <c r="F152" s="18"/>
      <c r="G152" s="12"/>
      <c r="H152" s="12"/>
      <c r="I152" s="18"/>
    </row>
    <row r="153" customFormat="false" ht="15" hidden="false" customHeight="false" outlineLevel="0" collapsed="false">
      <c r="A153" s="18"/>
      <c r="B153" s="18"/>
      <c r="C153" s="12"/>
      <c r="D153" s="18"/>
      <c r="E153" s="18"/>
      <c r="F153" s="18"/>
      <c r="G153" s="12"/>
      <c r="H153" s="12"/>
      <c r="I153" s="18"/>
    </row>
    <row r="154" customFormat="false" ht="15" hidden="false" customHeight="false" outlineLevel="0" collapsed="false">
      <c r="A154" s="18"/>
      <c r="B154" s="18"/>
      <c r="C154" s="12"/>
      <c r="D154" s="18"/>
      <c r="E154" s="18"/>
      <c r="F154" s="18"/>
      <c r="G154" s="12"/>
      <c r="H154" s="12"/>
      <c r="I154" s="18"/>
    </row>
    <row r="155" customFormat="false" ht="15" hidden="false" customHeight="false" outlineLevel="0" collapsed="false">
      <c r="A155" s="18"/>
      <c r="B155" s="18"/>
      <c r="C155" s="12"/>
      <c r="D155" s="18"/>
      <c r="E155" s="18"/>
      <c r="F155" s="18"/>
      <c r="G155" s="12"/>
      <c r="H155" s="12"/>
      <c r="I155" s="18"/>
    </row>
    <row r="156" customFormat="false" ht="15" hidden="false" customHeight="false" outlineLevel="0" collapsed="false">
      <c r="A156" s="18"/>
      <c r="B156" s="18"/>
      <c r="C156" s="12"/>
      <c r="D156" s="18"/>
      <c r="E156" s="18"/>
      <c r="F156" s="18"/>
      <c r="G156" s="12"/>
      <c r="H156" s="12"/>
      <c r="I156" s="18"/>
    </row>
    <row r="157" customFormat="false" ht="15" hidden="false" customHeight="false" outlineLevel="0" collapsed="false">
      <c r="A157" s="18"/>
      <c r="B157" s="18"/>
      <c r="C157" s="12"/>
      <c r="D157" s="18"/>
      <c r="E157" s="18"/>
      <c r="F157" s="18"/>
      <c r="G157" s="12"/>
      <c r="H157" s="12"/>
      <c r="I157" s="18"/>
    </row>
    <row r="158" customFormat="false" ht="15" hidden="false" customHeight="false" outlineLevel="0" collapsed="false">
      <c r="A158" s="18"/>
      <c r="B158" s="18"/>
      <c r="C158" s="12"/>
      <c r="D158" s="18"/>
      <c r="E158" s="18"/>
      <c r="F158" s="18"/>
      <c r="G158" s="12"/>
      <c r="H158" s="12"/>
      <c r="I158" s="18"/>
    </row>
    <row r="159" customFormat="false" ht="15" hidden="false" customHeight="false" outlineLevel="0" collapsed="false">
      <c r="A159" s="18"/>
      <c r="B159" s="18"/>
      <c r="C159" s="12"/>
      <c r="D159" s="18"/>
      <c r="E159" s="18"/>
      <c r="F159" s="18"/>
      <c r="G159" s="12"/>
      <c r="H159" s="12"/>
      <c r="I159" s="18"/>
    </row>
    <row r="160" customFormat="false" ht="15" hidden="false" customHeight="false" outlineLevel="0" collapsed="false">
      <c r="A160" s="18"/>
      <c r="B160" s="18"/>
      <c r="C160" s="12"/>
      <c r="D160" s="18"/>
      <c r="E160" s="18"/>
      <c r="F160" s="18"/>
      <c r="G160" s="12"/>
      <c r="H160" s="12"/>
      <c r="I160" s="18"/>
    </row>
    <row r="161" customFormat="false" ht="15" hidden="false" customHeight="false" outlineLevel="0" collapsed="false">
      <c r="A161" s="18"/>
      <c r="B161" s="18"/>
      <c r="C161" s="12"/>
      <c r="D161" s="18"/>
      <c r="E161" s="18"/>
      <c r="F161" s="18"/>
      <c r="G161" s="12"/>
      <c r="H161" s="12"/>
      <c r="I161" s="18"/>
    </row>
    <row r="162" customFormat="false" ht="15" hidden="false" customHeight="false" outlineLevel="0" collapsed="false">
      <c r="A162" s="18"/>
      <c r="B162" s="18"/>
      <c r="C162" s="12"/>
      <c r="D162" s="18"/>
      <c r="E162" s="18"/>
      <c r="F162" s="18"/>
      <c r="G162" s="12"/>
      <c r="H162" s="12"/>
      <c r="I162" s="18"/>
    </row>
    <row r="163" customFormat="false" ht="15" hidden="false" customHeight="false" outlineLevel="0" collapsed="false">
      <c r="A163" s="18"/>
      <c r="B163" s="18"/>
      <c r="C163" s="12"/>
      <c r="D163" s="18"/>
      <c r="E163" s="18"/>
      <c r="F163" s="18"/>
      <c r="G163" s="12"/>
      <c r="H163" s="12"/>
      <c r="I163" s="18"/>
    </row>
    <row r="164" customFormat="false" ht="15" hidden="false" customHeight="false" outlineLevel="0" collapsed="false">
      <c r="A164" s="18"/>
      <c r="B164" s="18"/>
      <c r="C164" s="12"/>
      <c r="D164" s="18"/>
      <c r="E164" s="18"/>
      <c r="F164" s="18"/>
      <c r="G164" s="12"/>
      <c r="H164" s="12"/>
      <c r="I164" s="18"/>
    </row>
    <row r="165" customFormat="false" ht="15" hidden="false" customHeight="false" outlineLevel="0" collapsed="false">
      <c r="A165" s="18"/>
      <c r="B165" s="18"/>
      <c r="C165" s="12"/>
      <c r="D165" s="18"/>
      <c r="E165" s="18"/>
      <c r="F165" s="18"/>
      <c r="G165" s="12"/>
      <c r="H165" s="12"/>
      <c r="I165" s="18"/>
    </row>
    <row r="166" customFormat="false" ht="15" hidden="false" customHeight="false" outlineLevel="0" collapsed="false">
      <c r="A166" s="18"/>
      <c r="B166" s="18"/>
      <c r="C166" s="12"/>
      <c r="D166" s="18"/>
      <c r="E166" s="18"/>
      <c r="F166" s="18"/>
      <c r="G166" s="12"/>
      <c r="H166" s="12"/>
      <c r="I166" s="18"/>
    </row>
    <row r="167" customFormat="false" ht="15" hidden="false" customHeight="false" outlineLevel="0" collapsed="false">
      <c r="A167" s="18"/>
      <c r="B167" s="18"/>
      <c r="C167" s="12"/>
      <c r="D167" s="18"/>
      <c r="E167" s="18"/>
      <c r="F167" s="18"/>
      <c r="G167" s="12"/>
      <c r="H167" s="12"/>
      <c r="I167" s="18"/>
    </row>
    <row r="168" customFormat="false" ht="15" hidden="false" customHeight="false" outlineLevel="0" collapsed="false">
      <c r="A168" s="18"/>
      <c r="B168" s="18"/>
      <c r="C168" s="12"/>
      <c r="D168" s="18"/>
      <c r="E168" s="18"/>
      <c r="F168" s="18"/>
      <c r="G168" s="12"/>
      <c r="H168" s="12"/>
      <c r="I168" s="18"/>
    </row>
    <row r="169" customFormat="false" ht="15" hidden="false" customHeight="false" outlineLevel="0" collapsed="false">
      <c r="A169" s="18"/>
      <c r="B169" s="18"/>
      <c r="C169" s="12"/>
      <c r="D169" s="18"/>
      <c r="E169" s="18"/>
      <c r="F169" s="18"/>
      <c r="G169" s="12"/>
      <c r="H169" s="12"/>
      <c r="I169" s="18"/>
    </row>
    <row r="170" customFormat="false" ht="15" hidden="false" customHeight="false" outlineLevel="0" collapsed="false">
      <c r="A170" s="18"/>
      <c r="B170" s="18"/>
      <c r="C170" s="12"/>
      <c r="D170" s="18"/>
      <c r="E170" s="18"/>
      <c r="F170" s="18"/>
      <c r="G170" s="12"/>
      <c r="H170" s="12"/>
      <c r="I170" s="18"/>
    </row>
    <row r="171" customFormat="false" ht="15" hidden="false" customHeight="false" outlineLevel="0" collapsed="false">
      <c r="A171" s="18"/>
      <c r="B171" s="18"/>
      <c r="C171" s="12"/>
      <c r="D171" s="18"/>
      <c r="E171" s="18"/>
      <c r="F171" s="18"/>
      <c r="G171" s="12"/>
      <c r="H171" s="12"/>
      <c r="I171" s="18"/>
    </row>
    <row r="172" customFormat="false" ht="15" hidden="false" customHeight="false" outlineLevel="0" collapsed="false">
      <c r="A172" s="18"/>
      <c r="B172" s="18"/>
      <c r="C172" s="12"/>
      <c r="D172" s="18"/>
      <c r="E172" s="18"/>
      <c r="F172" s="18"/>
      <c r="G172" s="12"/>
      <c r="H172" s="12"/>
      <c r="I172" s="18"/>
    </row>
    <row r="173" customFormat="false" ht="15" hidden="false" customHeight="false" outlineLevel="0" collapsed="false">
      <c r="A173" s="18"/>
      <c r="B173" s="18"/>
      <c r="C173" s="12"/>
      <c r="D173" s="18"/>
      <c r="E173" s="18"/>
      <c r="F173" s="18"/>
      <c r="G173" s="12"/>
      <c r="H173" s="12"/>
      <c r="I173" s="18"/>
    </row>
    <row r="174" customFormat="false" ht="15" hidden="false" customHeight="false" outlineLevel="0" collapsed="false">
      <c r="A174" s="18"/>
      <c r="B174" s="18"/>
      <c r="C174" s="12"/>
      <c r="D174" s="18"/>
      <c r="E174" s="18"/>
      <c r="F174" s="18"/>
      <c r="G174" s="12"/>
      <c r="H174" s="12"/>
      <c r="I174" s="18"/>
    </row>
    <row r="175" customFormat="false" ht="15" hidden="false" customHeight="false" outlineLevel="0" collapsed="false">
      <c r="A175" s="18"/>
      <c r="B175" s="18"/>
      <c r="C175" s="12"/>
      <c r="D175" s="18"/>
      <c r="E175" s="18"/>
      <c r="F175" s="18"/>
      <c r="G175" s="12"/>
      <c r="H175" s="12"/>
      <c r="I175" s="18"/>
    </row>
    <row r="176" customFormat="false" ht="15" hidden="false" customHeight="false" outlineLevel="0" collapsed="false">
      <c r="A176" s="18"/>
      <c r="B176" s="18"/>
      <c r="C176" s="12"/>
      <c r="D176" s="18"/>
      <c r="E176" s="18"/>
      <c r="F176" s="18"/>
      <c r="G176" s="12"/>
      <c r="H176" s="12"/>
      <c r="I176" s="18"/>
    </row>
    <row r="177" customFormat="false" ht="15" hidden="false" customHeight="false" outlineLevel="0" collapsed="false">
      <c r="A177" s="18"/>
      <c r="B177" s="18"/>
      <c r="C177" s="12"/>
      <c r="D177" s="18"/>
      <c r="E177" s="18"/>
      <c r="F177" s="18"/>
      <c r="G177" s="12"/>
      <c r="H177" s="12"/>
      <c r="I177" s="18"/>
    </row>
    <row r="178" customFormat="false" ht="15" hidden="false" customHeight="false" outlineLevel="0" collapsed="false">
      <c r="A178" s="18"/>
      <c r="B178" s="18"/>
      <c r="C178" s="12"/>
      <c r="D178" s="18"/>
      <c r="E178" s="18"/>
      <c r="F178" s="18"/>
      <c r="G178" s="12"/>
      <c r="H178" s="12"/>
      <c r="I178" s="18"/>
    </row>
    <row r="179" customFormat="false" ht="15" hidden="false" customHeight="false" outlineLevel="0" collapsed="false">
      <c r="A179" s="18"/>
      <c r="B179" s="18"/>
      <c r="C179" s="12"/>
      <c r="D179" s="18"/>
      <c r="E179" s="18"/>
      <c r="F179" s="18"/>
      <c r="G179" s="12"/>
      <c r="H179" s="12"/>
      <c r="I179" s="18"/>
    </row>
    <row r="180" customFormat="false" ht="15" hidden="false" customHeight="false" outlineLevel="0" collapsed="false">
      <c r="A180" s="18"/>
      <c r="B180" s="18"/>
      <c r="C180" s="12"/>
      <c r="D180" s="18"/>
      <c r="E180" s="18"/>
      <c r="F180" s="18"/>
      <c r="G180" s="12"/>
      <c r="H180" s="12"/>
      <c r="I180" s="18"/>
    </row>
    <row r="181" customFormat="false" ht="15" hidden="false" customHeight="false" outlineLevel="0" collapsed="false">
      <c r="A181" s="18"/>
      <c r="B181" s="18"/>
      <c r="C181" s="12"/>
      <c r="D181" s="18"/>
      <c r="E181" s="18"/>
      <c r="F181" s="18"/>
      <c r="G181" s="12"/>
      <c r="H181" s="12"/>
      <c r="I181" s="18"/>
    </row>
    <row r="182" customFormat="false" ht="15" hidden="false" customHeight="false" outlineLevel="0" collapsed="false">
      <c r="A182" s="18"/>
      <c r="B182" s="18"/>
      <c r="C182" s="12"/>
      <c r="D182" s="18"/>
      <c r="E182" s="18"/>
      <c r="F182" s="18"/>
      <c r="G182" s="12"/>
      <c r="H182" s="12"/>
      <c r="I182" s="18"/>
    </row>
    <row r="183" customFormat="false" ht="15" hidden="false" customHeight="false" outlineLevel="0" collapsed="false">
      <c r="A183" s="18"/>
      <c r="B183" s="18"/>
      <c r="C183" s="12"/>
      <c r="D183" s="18"/>
      <c r="E183" s="18"/>
      <c r="F183" s="18"/>
      <c r="G183" s="12"/>
      <c r="H183" s="12"/>
      <c r="I183" s="18"/>
    </row>
    <row r="184" customFormat="false" ht="15" hidden="false" customHeight="false" outlineLevel="0" collapsed="false">
      <c r="A184" s="18"/>
      <c r="B184" s="18"/>
      <c r="C184" s="12"/>
      <c r="D184" s="18"/>
      <c r="E184" s="18"/>
      <c r="F184" s="18"/>
      <c r="G184" s="12"/>
      <c r="H184" s="12"/>
      <c r="I184" s="18"/>
    </row>
    <row r="185" customFormat="false" ht="15" hidden="false" customHeight="false" outlineLevel="0" collapsed="false">
      <c r="A185" s="18"/>
      <c r="B185" s="18"/>
      <c r="C185" s="12"/>
      <c r="D185" s="18"/>
      <c r="E185" s="18"/>
      <c r="F185" s="18"/>
      <c r="G185" s="12"/>
      <c r="H185" s="12"/>
      <c r="I185" s="18"/>
    </row>
    <row r="186" customFormat="false" ht="15" hidden="false" customHeight="false" outlineLevel="0" collapsed="false">
      <c r="A186" s="18"/>
      <c r="B186" s="18"/>
      <c r="C186" s="12"/>
      <c r="D186" s="18"/>
      <c r="E186" s="18"/>
      <c r="F186" s="18"/>
      <c r="G186" s="12"/>
      <c r="H186" s="12"/>
      <c r="I186" s="18"/>
    </row>
    <row r="187" customFormat="false" ht="15" hidden="false" customHeight="false" outlineLevel="0" collapsed="false">
      <c r="A187" s="18"/>
      <c r="B187" s="18"/>
      <c r="C187" s="12"/>
      <c r="D187" s="18"/>
      <c r="E187" s="18"/>
      <c r="F187" s="18"/>
      <c r="G187" s="12"/>
      <c r="H187" s="12"/>
      <c r="I187" s="18"/>
    </row>
    <row r="188" customFormat="false" ht="15" hidden="false" customHeight="false" outlineLevel="0" collapsed="false">
      <c r="A188" s="18"/>
      <c r="B188" s="18"/>
      <c r="C188" s="12"/>
      <c r="D188" s="18"/>
      <c r="E188" s="18"/>
      <c r="F188" s="18"/>
      <c r="G188" s="12"/>
      <c r="H188" s="12"/>
      <c r="I188" s="18"/>
    </row>
    <row r="189" customFormat="false" ht="15" hidden="false" customHeight="false" outlineLevel="0" collapsed="false">
      <c r="A189" s="18"/>
      <c r="B189" s="18"/>
      <c r="C189" s="12"/>
      <c r="D189" s="18"/>
      <c r="E189" s="18"/>
      <c r="F189" s="18"/>
      <c r="G189" s="12"/>
      <c r="H189" s="12"/>
      <c r="I189" s="18"/>
    </row>
    <row r="190" customFormat="false" ht="15" hidden="false" customHeight="false" outlineLevel="0" collapsed="false">
      <c r="A190" s="18"/>
      <c r="B190" s="18"/>
      <c r="C190" s="12"/>
      <c r="D190" s="18"/>
      <c r="E190" s="18"/>
      <c r="F190" s="18"/>
      <c r="G190" s="12"/>
      <c r="H190" s="12"/>
      <c r="I190" s="18"/>
    </row>
    <row r="191" customFormat="false" ht="15" hidden="false" customHeight="false" outlineLevel="0" collapsed="false">
      <c r="A191" s="18"/>
      <c r="B191" s="18"/>
      <c r="C191" s="12"/>
      <c r="D191" s="18"/>
      <c r="E191" s="18"/>
      <c r="F191" s="18"/>
      <c r="G191" s="12"/>
      <c r="H191" s="12"/>
      <c r="I191" s="18"/>
    </row>
    <row r="192" customFormat="false" ht="15" hidden="false" customHeight="false" outlineLevel="0" collapsed="false">
      <c r="A192" s="18"/>
      <c r="B192" s="18"/>
      <c r="C192" s="12"/>
      <c r="D192" s="18"/>
      <c r="E192" s="18"/>
      <c r="F192" s="18"/>
      <c r="G192" s="12"/>
      <c r="H192" s="12"/>
      <c r="I192" s="18"/>
    </row>
    <row r="193" customFormat="false" ht="15" hidden="false" customHeight="false" outlineLevel="0" collapsed="false">
      <c r="A193" s="18"/>
      <c r="B193" s="18"/>
      <c r="C193" s="12"/>
      <c r="D193" s="18"/>
      <c r="E193" s="18"/>
      <c r="F193" s="18"/>
      <c r="G193" s="12"/>
      <c r="H193" s="12"/>
      <c r="I193" s="18"/>
    </row>
    <row r="194" customFormat="false" ht="15" hidden="false" customHeight="false" outlineLevel="0" collapsed="false">
      <c r="A194" s="18"/>
      <c r="B194" s="18"/>
      <c r="C194" s="12"/>
      <c r="D194" s="18"/>
      <c r="E194" s="18"/>
      <c r="F194" s="18"/>
      <c r="G194" s="12"/>
      <c r="H194" s="12"/>
      <c r="I194" s="18"/>
    </row>
    <row r="195" customFormat="false" ht="15" hidden="false" customHeight="false" outlineLevel="0" collapsed="false">
      <c r="A195" s="18"/>
      <c r="B195" s="18"/>
      <c r="C195" s="12"/>
      <c r="D195" s="18"/>
      <c r="E195" s="18"/>
      <c r="F195" s="18"/>
      <c r="G195" s="12"/>
      <c r="H195" s="12"/>
      <c r="I195" s="18"/>
    </row>
    <row r="196" customFormat="false" ht="15" hidden="false" customHeight="false" outlineLevel="0" collapsed="false">
      <c r="A196" s="18"/>
      <c r="B196" s="18"/>
      <c r="C196" s="12"/>
      <c r="D196" s="18"/>
      <c r="E196" s="18"/>
      <c r="F196" s="18"/>
      <c r="G196" s="12"/>
      <c r="H196" s="12"/>
      <c r="I196" s="18"/>
    </row>
    <row r="197" customFormat="false" ht="15" hidden="false" customHeight="false" outlineLevel="0" collapsed="false">
      <c r="A197" s="18"/>
      <c r="B197" s="18"/>
      <c r="C197" s="12"/>
      <c r="D197" s="18"/>
      <c r="E197" s="18"/>
      <c r="F197" s="18"/>
      <c r="G197" s="12"/>
      <c r="H197" s="12"/>
      <c r="I197" s="18"/>
    </row>
    <row r="198" customFormat="false" ht="15" hidden="false" customHeight="false" outlineLevel="0" collapsed="false">
      <c r="A198" s="18"/>
      <c r="B198" s="18"/>
      <c r="C198" s="12"/>
      <c r="D198" s="18"/>
      <c r="E198" s="18"/>
      <c r="F198" s="18"/>
      <c r="G198" s="12"/>
      <c r="H198" s="12"/>
      <c r="I198" s="18"/>
    </row>
    <row r="199" customFormat="false" ht="15" hidden="false" customHeight="false" outlineLevel="0" collapsed="false">
      <c r="A199" s="18"/>
      <c r="B199" s="18"/>
      <c r="C199" s="12"/>
      <c r="D199" s="18"/>
      <c r="E199" s="18"/>
      <c r="F199" s="18"/>
      <c r="G199" s="12"/>
      <c r="H199" s="12"/>
      <c r="I199" s="18"/>
    </row>
    <row r="200" customFormat="false" ht="15" hidden="false" customHeight="false" outlineLevel="0" collapsed="false">
      <c r="A200" s="18"/>
      <c r="B200" s="18"/>
      <c r="C200" s="12"/>
      <c r="D200" s="18"/>
      <c r="E200" s="18"/>
      <c r="F200" s="18"/>
      <c r="G200" s="12"/>
      <c r="H200" s="12"/>
      <c r="I200" s="18"/>
    </row>
    <row r="201" customFormat="false" ht="15" hidden="false" customHeight="false" outlineLevel="0" collapsed="false">
      <c r="A201" s="18"/>
      <c r="B201" s="18"/>
      <c r="C201" s="12"/>
      <c r="D201" s="18"/>
      <c r="E201" s="18"/>
      <c r="F201" s="18"/>
      <c r="G201" s="12"/>
      <c r="H201" s="12"/>
      <c r="I201" s="18"/>
    </row>
    <row r="202" customFormat="false" ht="15" hidden="false" customHeight="false" outlineLevel="0" collapsed="false">
      <c r="A202" s="18"/>
      <c r="B202" s="18"/>
      <c r="C202" s="12"/>
      <c r="D202" s="18"/>
      <c r="E202" s="18"/>
      <c r="F202" s="18"/>
      <c r="G202" s="12"/>
      <c r="H202" s="12"/>
      <c r="I202" s="18"/>
    </row>
    <row r="203" customFormat="false" ht="15" hidden="false" customHeight="false" outlineLevel="0" collapsed="false">
      <c r="A203" s="18"/>
      <c r="B203" s="18"/>
      <c r="C203" s="12"/>
      <c r="D203" s="18"/>
      <c r="E203" s="18"/>
      <c r="F203" s="18"/>
      <c r="G203" s="12"/>
      <c r="H203" s="12"/>
      <c r="I203" s="18"/>
    </row>
    <row r="204" customFormat="false" ht="15" hidden="false" customHeight="false" outlineLevel="0" collapsed="false">
      <c r="A204" s="18"/>
      <c r="B204" s="18"/>
      <c r="C204" s="12"/>
      <c r="D204" s="18"/>
      <c r="E204" s="18"/>
      <c r="F204" s="18"/>
      <c r="G204" s="12"/>
      <c r="H204" s="12"/>
      <c r="I204" s="18"/>
    </row>
    <row r="205" customFormat="false" ht="15" hidden="false" customHeight="false" outlineLevel="0" collapsed="false">
      <c r="A205" s="18"/>
      <c r="B205" s="18"/>
      <c r="C205" s="12"/>
      <c r="D205" s="18"/>
      <c r="E205" s="18"/>
      <c r="F205" s="18"/>
      <c r="G205" s="12"/>
      <c r="H205" s="12"/>
      <c r="I205" s="18"/>
    </row>
    <row r="206" customFormat="false" ht="15" hidden="false" customHeight="false" outlineLevel="0" collapsed="false">
      <c r="A206" s="18"/>
      <c r="B206" s="18"/>
      <c r="C206" s="12"/>
      <c r="D206" s="18"/>
      <c r="E206" s="18"/>
      <c r="F206" s="18"/>
      <c r="G206" s="12"/>
      <c r="H206" s="12"/>
      <c r="I206" s="18"/>
    </row>
    <row r="207" customFormat="false" ht="15" hidden="false" customHeight="false" outlineLevel="0" collapsed="false">
      <c r="A207" s="18"/>
      <c r="B207" s="18"/>
      <c r="C207" s="12"/>
      <c r="D207" s="18"/>
      <c r="E207" s="18"/>
      <c r="F207" s="18"/>
      <c r="G207" s="12"/>
      <c r="H207" s="12"/>
      <c r="I207" s="18"/>
    </row>
    <row r="208" customFormat="false" ht="15" hidden="false" customHeight="false" outlineLevel="0" collapsed="false">
      <c r="A208" s="18"/>
      <c r="B208" s="18"/>
      <c r="C208" s="12"/>
      <c r="D208" s="18"/>
      <c r="E208" s="18"/>
      <c r="F208" s="18"/>
      <c r="G208" s="12"/>
      <c r="H208" s="12"/>
      <c r="I208" s="18"/>
    </row>
    <row r="209" customFormat="false" ht="15" hidden="false" customHeight="false" outlineLevel="0" collapsed="false">
      <c r="A209" s="18"/>
      <c r="B209" s="18"/>
      <c r="C209" s="12"/>
      <c r="D209" s="18"/>
      <c r="E209" s="18"/>
      <c r="F209" s="18"/>
      <c r="G209" s="12"/>
      <c r="H209" s="12"/>
      <c r="I209" s="18"/>
    </row>
    <row r="210" customFormat="false" ht="15" hidden="false" customHeight="false" outlineLevel="0" collapsed="false">
      <c r="A210" s="18"/>
      <c r="B210" s="18"/>
      <c r="C210" s="12"/>
      <c r="D210" s="18"/>
      <c r="E210" s="18"/>
      <c r="F210" s="18"/>
      <c r="G210" s="12"/>
      <c r="H210" s="12"/>
      <c r="I210" s="18"/>
    </row>
    <row r="211" customFormat="false" ht="15" hidden="false" customHeight="false" outlineLevel="0" collapsed="false">
      <c r="A211" s="18"/>
      <c r="B211" s="18"/>
      <c r="C211" s="12"/>
      <c r="D211" s="18"/>
      <c r="E211" s="18"/>
      <c r="F211" s="18"/>
      <c r="G211" s="12"/>
      <c r="H211" s="12"/>
      <c r="I211" s="18"/>
    </row>
    <row r="212" customFormat="false" ht="15" hidden="false" customHeight="false" outlineLevel="0" collapsed="false">
      <c r="A212" s="18"/>
      <c r="B212" s="18"/>
      <c r="C212" s="12"/>
      <c r="D212" s="18"/>
      <c r="E212" s="18"/>
      <c r="F212" s="18"/>
      <c r="G212" s="12"/>
      <c r="H212" s="12"/>
      <c r="I212" s="18"/>
    </row>
    <row r="213" customFormat="false" ht="15" hidden="false" customHeight="false" outlineLevel="0" collapsed="false">
      <c r="A213" s="18"/>
      <c r="B213" s="18"/>
      <c r="C213" s="12"/>
      <c r="D213" s="18"/>
      <c r="E213" s="18"/>
      <c r="F213" s="18"/>
      <c r="G213" s="12"/>
      <c r="H213" s="12"/>
      <c r="I213" s="18"/>
    </row>
    <row r="214" customFormat="false" ht="15" hidden="false" customHeight="false" outlineLevel="0" collapsed="false">
      <c r="A214" s="18"/>
      <c r="B214" s="18"/>
      <c r="C214" s="12"/>
      <c r="D214" s="18"/>
      <c r="E214" s="18"/>
      <c r="F214" s="18"/>
      <c r="G214" s="12"/>
      <c r="H214" s="12"/>
      <c r="I214" s="18"/>
    </row>
    <row r="215" customFormat="false" ht="15" hidden="false" customHeight="false" outlineLevel="0" collapsed="false">
      <c r="A215" s="18"/>
      <c r="B215" s="18"/>
      <c r="C215" s="12"/>
      <c r="D215" s="18"/>
      <c r="E215" s="18"/>
      <c r="F215" s="18"/>
      <c r="G215" s="12"/>
      <c r="H215" s="12"/>
      <c r="I215" s="18"/>
    </row>
    <row r="216" customFormat="false" ht="15" hidden="false" customHeight="false" outlineLevel="0" collapsed="false">
      <c r="A216" s="18"/>
      <c r="B216" s="18"/>
      <c r="C216" s="12"/>
      <c r="D216" s="18"/>
      <c r="E216" s="18"/>
      <c r="F216" s="18"/>
      <c r="G216" s="12"/>
      <c r="H216" s="12"/>
      <c r="I216" s="18"/>
    </row>
    <row r="217" customFormat="false" ht="15" hidden="false" customHeight="false" outlineLevel="0" collapsed="false">
      <c r="A217" s="18"/>
      <c r="B217" s="18"/>
      <c r="C217" s="12"/>
      <c r="D217" s="18"/>
      <c r="E217" s="18"/>
      <c r="F217" s="18"/>
      <c r="G217" s="12"/>
      <c r="H217" s="12"/>
      <c r="I217" s="18"/>
    </row>
    <row r="218" customFormat="false" ht="15" hidden="false" customHeight="false" outlineLevel="0" collapsed="false">
      <c r="A218" s="18"/>
      <c r="B218" s="18"/>
      <c r="C218" s="12"/>
      <c r="D218" s="18"/>
      <c r="E218" s="18"/>
      <c r="F218" s="18"/>
      <c r="G218" s="12"/>
      <c r="H218" s="12"/>
      <c r="I218" s="18"/>
    </row>
    <row r="219" customFormat="false" ht="15" hidden="false" customHeight="false" outlineLevel="0" collapsed="false">
      <c r="A219" s="18"/>
      <c r="B219" s="18"/>
      <c r="C219" s="12"/>
      <c r="D219" s="18"/>
      <c r="E219" s="18"/>
      <c r="F219" s="18"/>
      <c r="G219" s="12"/>
      <c r="H219" s="12"/>
      <c r="I219" s="18"/>
    </row>
    <row r="220" customFormat="false" ht="15" hidden="false" customHeight="false" outlineLevel="0" collapsed="false">
      <c r="A220" s="18"/>
      <c r="B220" s="18"/>
      <c r="C220" s="12"/>
      <c r="D220" s="18"/>
      <c r="E220" s="18"/>
      <c r="F220" s="18"/>
      <c r="G220" s="12"/>
      <c r="H220" s="12"/>
      <c r="I220" s="18"/>
    </row>
    <row r="221" customFormat="false" ht="15" hidden="false" customHeight="false" outlineLevel="0" collapsed="false">
      <c r="A221" s="18"/>
      <c r="B221" s="18"/>
      <c r="C221" s="12"/>
      <c r="D221" s="18"/>
      <c r="E221" s="18"/>
      <c r="F221" s="18"/>
      <c r="G221" s="12"/>
      <c r="H221" s="12"/>
      <c r="I221" s="18"/>
    </row>
    <row r="222" customFormat="false" ht="15" hidden="false" customHeight="false" outlineLevel="0" collapsed="false">
      <c r="A222" s="18"/>
      <c r="B222" s="18"/>
      <c r="C222" s="12"/>
      <c r="D222" s="18"/>
      <c r="E222" s="18"/>
      <c r="F222" s="18"/>
      <c r="G222" s="12"/>
      <c r="H222" s="12"/>
      <c r="I222" s="18"/>
    </row>
    <row r="223" customFormat="false" ht="15" hidden="false" customHeight="false" outlineLevel="0" collapsed="false">
      <c r="A223" s="18"/>
      <c r="B223" s="18"/>
      <c r="C223" s="12"/>
      <c r="D223" s="18"/>
      <c r="E223" s="18"/>
      <c r="F223" s="18"/>
      <c r="G223" s="12"/>
      <c r="H223" s="12"/>
      <c r="I223" s="18"/>
    </row>
    <row r="224" customFormat="false" ht="15" hidden="false" customHeight="false" outlineLevel="0" collapsed="false">
      <c r="A224" s="18"/>
      <c r="B224" s="18"/>
      <c r="C224" s="12"/>
      <c r="D224" s="18"/>
      <c r="E224" s="18"/>
      <c r="F224" s="18"/>
      <c r="G224" s="12"/>
      <c r="H224" s="12"/>
      <c r="I224" s="18"/>
    </row>
    <row r="225" customFormat="false" ht="15" hidden="false" customHeight="false" outlineLevel="0" collapsed="false">
      <c r="A225" s="18"/>
      <c r="B225" s="18"/>
      <c r="C225" s="12"/>
      <c r="D225" s="18"/>
      <c r="E225" s="18"/>
      <c r="F225" s="18"/>
      <c r="G225" s="12"/>
      <c r="H225" s="12"/>
      <c r="I225" s="18"/>
    </row>
    <row r="226" customFormat="false" ht="15" hidden="false" customHeight="false" outlineLevel="0" collapsed="false">
      <c r="A226" s="18"/>
      <c r="B226" s="18"/>
      <c r="C226" s="12"/>
      <c r="D226" s="18"/>
      <c r="E226" s="18"/>
      <c r="F226" s="18"/>
      <c r="G226" s="12"/>
      <c r="H226" s="12"/>
      <c r="I226" s="18"/>
    </row>
    <row r="227" customFormat="false" ht="15" hidden="false" customHeight="false" outlineLevel="0" collapsed="false">
      <c r="A227" s="18"/>
      <c r="B227" s="18"/>
      <c r="C227" s="12"/>
      <c r="D227" s="18"/>
      <c r="E227" s="18"/>
      <c r="F227" s="18"/>
      <c r="G227" s="12"/>
      <c r="H227" s="12"/>
      <c r="I227" s="18"/>
    </row>
    <row r="228" customFormat="false" ht="15" hidden="false" customHeight="false" outlineLevel="0" collapsed="false">
      <c r="A228" s="18"/>
      <c r="B228" s="18"/>
      <c r="C228" s="12"/>
      <c r="D228" s="18"/>
      <c r="E228" s="18"/>
      <c r="F228" s="18"/>
      <c r="G228" s="12"/>
      <c r="H228" s="12"/>
      <c r="I228" s="18"/>
    </row>
    <row r="229" customFormat="false" ht="15" hidden="false" customHeight="false" outlineLevel="0" collapsed="false">
      <c r="A229" s="18"/>
      <c r="B229" s="18"/>
      <c r="C229" s="12"/>
      <c r="D229" s="18"/>
      <c r="E229" s="18"/>
      <c r="F229" s="18"/>
      <c r="G229" s="12"/>
      <c r="H229" s="12"/>
      <c r="I229" s="18"/>
    </row>
    <row r="230" customFormat="false" ht="15" hidden="false" customHeight="false" outlineLevel="0" collapsed="false">
      <c r="A230" s="18"/>
      <c r="B230" s="18"/>
      <c r="C230" s="12"/>
      <c r="D230" s="18"/>
      <c r="E230" s="18"/>
      <c r="F230" s="18"/>
      <c r="G230" s="12"/>
      <c r="H230" s="12"/>
      <c r="I230" s="18"/>
    </row>
    <row r="231" customFormat="false" ht="15" hidden="false" customHeight="false" outlineLevel="0" collapsed="false">
      <c r="A231" s="18"/>
      <c r="B231" s="18"/>
      <c r="C231" s="12"/>
      <c r="D231" s="18"/>
      <c r="E231" s="18"/>
      <c r="F231" s="18"/>
      <c r="G231" s="12"/>
      <c r="H231" s="12"/>
      <c r="I231" s="18"/>
    </row>
    <row r="232" customFormat="false" ht="15" hidden="false" customHeight="false" outlineLevel="0" collapsed="false">
      <c r="A232" s="18"/>
      <c r="B232" s="18"/>
      <c r="C232" s="12"/>
      <c r="D232" s="18"/>
      <c r="E232" s="18"/>
      <c r="F232" s="18"/>
      <c r="G232" s="12"/>
      <c r="H232" s="12"/>
      <c r="I232" s="18"/>
    </row>
    <row r="233" customFormat="false" ht="15" hidden="false" customHeight="false" outlineLevel="0" collapsed="false">
      <c r="A233" s="18"/>
      <c r="B233" s="18"/>
      <c r="C233" s="12"/>
      <c r="D233" s="18"/>
      <c r="E233" s="18"/>
      <c r="F233" s="18"/>
      <c r="G233" s="12"/>
      <c r="H233" s="12"/>
      <c r="I233" s="18"/>
    </row>
    <row r="234" customFormat="false" ht="15" hidden="false" customHeight="false" outlineLevel="0" collapsed="false">
      <c r="A234" s="18"/>
      <c r="B234" s="18"/>
      <c r="C234" s="12"/>
      <c r="D234" s="18"/>
      <c r="E234" s="18"/>
      <c r="F234" s="18"/>
      <c r="G234" s="12"/>
      <c r="H234" s="12"/>
      <c r="I234" s="18"/>
    </row>
    <row r="235" customFormat="false" ht="15" hidden="false" customHeight="false" outlineLevel="0" collapsed="false">
      <c r="A235" s="18"/>
      <c r="B235" s="18"/>
      <c r="C235" s="12"/>
      <c r="D235" s="18"/>
      <c r="E235" s="18"/>
      <c r="F235" s="18"/>
      <c r="G235" s="12"/>
      <c r="H235" s="12"/>
      <c r="I235" s="18"/>
    </row>
    <row r="236" customFormat="false" ht="15" hidden="false" customHeight="false" outlineLevel="0" collapsed="false">
      <c r="A236" s="18"/>
      <c r="B236" s="18"/>
      <c r="C236" s="12"/>
      <c r="D236" s="18"/>
      <c r="E236" s="18"/>
      <c r="F236" s="18"/>
      <c r="G236" s="12"/>
      <c r="H236" s="12"/>
      <c r="I236" s="18"/>
    </row>
    <row r="237" customFormat="false" ht="15" hidden="false" customHeight="false" outlineLevel="0" collapsed="false">
      <c r="A237" s="18"/>
      <c r="B237" s="18"/>
      <c r="C237" s="12"/>
      <c r="D237" s="18"/>
      <c r="E237" s="18"/>
      <c r="F237" s="18"/>
      <c r="G237" s="12"/>
      <c r="H237" s="12"/>
      <c r="I237" s="18"/>
    </row>
    <row r="238" customFormat="false" ht="15" hidden="false" customHeight="false" outlineLevel="0" collapsed="false">
      <c r="A238" s="18"/>
      <c r="B238" s="18"/>
      <c r="C238" s="12"/>
      <c r="D238" s="18"/>
      <c r="E238" s="18"/>
      <c r="F238" s="18"/>
      <c r="G238" s="12"/>
      <c r="H238" s="12"/>
      <c r="I238" s="18"/>
    </row>
    <row r="239" customFormat="false" ht="15" hidden="false" customHeight="false" outlineLevel="0" collapsed="false">
      <c r="A239" s="18"/>
      <c r="B239" s="18"/>
      <c r="C239" s="12"/>
      <c r="D239" s="18"/>
      <c r="E239" s="18"/>
      <c r="F239" s="18"/>
      <c r="G239" s="12"/>
      <c r="H239" s="12"/>
      <c r="I239" s="18"/>
    </row>
    <row r="240" customFormat="false" ht="15" hidden="false" customHeight="false" outlineLevel="0" collapsed="false">
      <c r="A240" s="18"/>
      <c r="B240" s="18"/>
      <c r="C240" s="12"/>
      <c r="D240" s="18"/>
      <c r="E240" s="18"/>
      <c r="F240" s="18"/>
      <c r="G240" s="12"/>
      <c r="H240" s="12"/>
      <c r="I240" s="18"/>
    </row>
    <row r="241" customFormat="false" ht="15" hidden="false" customHeight="false" outlineLevel="0" collapsed="false">
      <c r="A241" s="18"/>
      <c r="B241" s="18"/>
      <c r="C241" s="12"/>
      <c r="D241" s="18"/>
      <c r="E241" s="18"/>
      <c r="F241" s="18"/>
      <c r="G241" s="12"/>
      <c r="H241" s="12"/>
      <c r="I241" s="18"/>
    </row>
    <row r="242" customFormat="false" ht="15" hidden="false" customHeight="false" outlineLevel="0" collapsed="false">
      <c r="A242" s="18"/>
      <c r="B242" s="18"/>
      <c r="C242" s="12"/>
      <c r="D242" s="18"/>
      <c r="E242" s="18"/>
      <c r="F242" s="18"/>
      <c r="G242" s="12"/>
      <c r="H242" s="12"/>
      <c r="I242" s="18"/>
    </row>
    <row r="243" customFormat="false" ht="15" hidden="false" customHeight="false" outlineLevel="0" collapsed="false">
      <c r="A243" s="18"/>
      <c r="B243" s="18"/>
      <c r="C243" s="12"/>
      <c r="D243" s="18"/>
      <c r="E243" s="18"/>
      <c r="F243" s="18"/>
      <c r="G243" s="12"/>
      <c r="H243" s="12"/>
      <c r="I243" s="18"/>
    </row>
    <row r="244" customFormat="false" ht="15" hidden="false" customHeight="false" outlineLevel="0" collapsed="false">
      <c r="A244" s="18"/>
      <c r="B244" s="18"/>
      <c r="C244" s="12"/>
      <c r="D244" s="18"/>
      <c r="E244" s="18"/>
      <c r="F244" s="18"/>
      <c r="G244" s="12"/>
      <c r="H244" s="12"/>
      <c r="I244" s="18"/>
    </row>
    <row r="245" customFormat="false" ht="15" hidden="false" customHeight="false" outlineLevel="0" collapsed="false">
      <c r="A245" s="18"/>
      <c r="B245" s="18"/>
      <c r="C245" s="12"/>
      <c r="D245" s="18"/>
      <c r="E245" s="18"/>
      <c r="F245" s="18"/>
      <c r="G245" s="12"/>
      <c r="H245" s="12"/>
      <c r="I245" s="18"/>
    </row>
    <row r="246" customFormat="false" ht="15" hidden="false" customHeight="false" outlineLevel="0" collapsed="false">
      <c r="A246" s="18"/>
      <c r="B246" s="18"/>
      <c r="C246" s="12"/>
      <c r="D246" s="18"/>
      <c r="E246" s="18"/>
      <c r="F246" s="18"/>
      <c r="G246" s="12"/>
      <c r="H246" s="12"/>
      <c r="I246" s="18"/>
    </row>
    <row r="247" customFormat="false" ht="15" hidden="false" customHeight="false" outlineLevel="0" collapsed="false">
      <c r="A247" s="18"/>
      <c r="B247" s="18"/>
      <c r="C247" s="12"/>
      <c r="D247" s="18"/>
      <c r="E247" s="18"/>
      <c r="F247" s="18"/>
      <c r="G247" s="12"/>
      <c r="H247" s="12"/>
      <c r="I247" s="18"/>
    </row>
    <row r="248" customFormat="false" ht="15" hidden="false" customHeight="false" outlineLevel="0" collapsed="false">
      <c r="A248" s="18"/>
      <c r="B248" s="18"/>
      <c r="C248" s="12"/>
      <c r="D248" s="18"/>
      <c r="E248" s="18"/>
      <c r="F248" s="18"/>
      <c r="G248" s="12"/>
      <c r="H248" s="12"/>
      <c r="I248" s="18"/>
    </row>
    <row r="249" customFormat="false" ht="15" hidden="false" customHeight="false" outlineLevel="0" collapsed="false">
      <c r="A249" s="18"/>
      <c r="B249" s="18"/>
      <c r="C249" s="12"/>
      <c r="D249" s="18"/>
      <c r="E249" s="18"/>
      <c r="F249" s="18"/>
      <c r="G249" s="12"/>
      <c r="H249" s="12"/>
      <c r="I249" s="18"/>
    </row>
    <row r="250" customFormat="false" ht="15" hidden="false" customHeight="false" outlineLevel="0" collapsed="false">
      <c r="A250" s="18"/>
      <c r="B250" s="18"/>
      <c r="C250" s="12"/>
      <c r="D250" s="18"/>
      <c r="E250" s="18"/>
      <c r="F250" s="18"/>
      <c r="G250" s="12"/>
      <c r="H250" s="12"/>
      <c r="I250" s="18"/>
    </row>
    <row r="251" customFormat="false" ht="15" hidden="false" customHeight="false" outlineLevel="0" collapsed="false">
      <c r="A251" s="18"/>
      <c r="B251" s="18"/>
      <c r="C251" s="12"/>
      <c r="D251" s="18"/>
      <c r="E251" s="18"/>
      <c r="F251" s="18"/>
      <c r="G251" s="12"/>
      <c r="H251" s="12"/>
      <c r="I251" s="18"/>
    </row>
    <row r="252" customFormat="false" ht="15" hidden="false" customHeight="false" outlineLevel="0" collapsed="false">
      <c r="A252" s="18"/>
      <c r="B252" s="18"/>
      <c r="C252" s="12"/>
      <c r="D252" s="18"/>
      <c r="E252" s="18"/>
      <c r="F252" s="18"/>
      <c r="G252" s="12"/>
      <c r="H252" s="12"/>
      <c r="I252" s="18"/>
    </row>
    <row r="253" customFormat="false" ht="15" hidden="false" customHeight="false" outlineLevel="0" collapsed="false">
      <c r="A253" s="18"/>
      <c r="B253" s="18"/>
      <c r="C253" s="12"/>
      <c r="D253" s="18"/>
      <c r="E253" s="18"/>
      <c r="F253" s="18"/>
      <c r="G253" s="12"/>
      <c r="H253" s="12"/>
      <c r="I253" s="18"/>
    </row>
    <row r="254" customFormat="false" ht="15" hidden="false" customHeight="false" outlineLevel="0" collapsed="false">
      <c r="A254" s="18"/>
      <c r="B254" s="18"/>
      <c r="C254" s="12"/>
      <c r="D254" s="18"/>
      <c r="E254" s="18"/>
      <c r="F254" s="18"/>
      <c r="G254" s="12"/>
      <c r="H254" s="12"/>
      <c r="I254" s="18"/>
    </row>
    <row r="255" customFormat="false" ht="15" hidden="false" customHeight="false" outlineLevel="0" collapsed="false">
      <c r="A255" s="18"/>
      <c r="B255" s="18"/>
      <c r="C255" s="12"/>
      <c r="D255" s="18"/>
      <c r="E255" s="18"/>
      <c r="F255" s="18"/>
      <c r="G255" s="12"/>
      <c r="H255" s="12"/>
      <c r="I255" s="18"/>
    </row>
    <row r="256" customFormat="false" ht="15" hidden="false" customHeight="false" outlineLevel="0" collapsed="false">
      <c r="A256" s="18"/>
      <c r="B256" s="18"/>
      <c r="C256" s="12"/>
      <c r="D256" s="18"/>
      <c r="E256" s="18"/>
      <c r="F256" s="18"/>
      <c r="G256" s="12"/>
      <c r="H256" s="12"/>
      <c r="I256" s="18"/>
    </row>
    <row r="257" customFormat="false" ht="15" hidden="false" customHeight="false" outlineLevel="0" collapsed="false">
      <c r="A257" s="18"/>
      <c r="B257" s="18"/>
      <c r="C257" s="12"/>
      <c r="D257" s="18"/>
      <c r="E257" s="18"/>
      <c r="F257" s="18"/>
      <c r="G257" s="12"/>
      <c r="H257" s="12"/>
      <c r="I257" s="18"/>
    </row>
    <row r="258" customFormat="false" ht="15" hidden="false" customHeight="false" outlineLevel="0" collapsed="false">
      <c r="A258" s="18"/>
      <c r="B258" s="18"/>
      <c r="C258" s="12"/>
      <c r="D258" s="18"/>
      <c r="E258" s="18"/>
      <c r="F258" s="18"/>
      <c r="G258" s="12"/>
      <c r="H258" s="12"/>
      <c r="I258" s="18"/>
    </row>
    <row r="259" customFormat="false" ht="15" hidden="false" customHeight="false" outlineLevel="0" collapsed="false">
      <c r="A259" s="18"/>
      <c r="B259" s="18"/>
      <c r="C259" s="12"/>
      <c r="D259" s="18"/>
      <c r="E259" s="18"/>
      <c r="F259" s="18"/>
      <c r="G259" s="12"/>
      <c r="H259" s="12"/>
      <c r="I259" s="18"/>
    </row>
    <row r="260" customFormat="false" ht="15" hidden="false" customHeight="false" outlineLevel="0" collapsed="false">
      <c r="A260" s="18"/>
      <c r="B260" s="18"/>
      <c r="C260" s="12"/>
      <c r="D260" s="18"/>
      <c r="E260" s="18"/>
      <c r="F260" s="18"/>
      <c r="G260" s="12"/>
      <c r="H260" s="12"/>
      <c r="I260" s="18"/>
    </row>
    <row r="261" customFormat="false" ht="15" hidden="false" customHeight="false" outlineLevel="0" collapsed="false">
      <c r="A261" s="18"/>
      <c r="B261" s="18"/>
      <c r="C261" s="12"/>
      <c r="D261" s="18"/>
      <c r="E261" s="18"/>
      <c r="F261" s="18"/>
      <c r="G261" s="12"/>
      <c r="H261" s="12"/>
      <c r="I261" s="18"/>
    </row>
    <row r="262" customFormat="false" ht="15" hidden="false" customHeight="false" outlineLevel="0" collapsed="false">
      <c r="A262" s="18"/>
      <c r="B262" s="18"/>
      <c r="C262" s="12"/>
      <c r="D262" s="18"/>
      <c r="E262" s="18"/>
      <c r="F262" s="18"/>
      <c r="G262" s="12"/>
      <c r="H262" s="12"/>
      <c r="I262" s="18"/>
    </row>
    <row r="263" customFormat="false" ht="15" hidden="false" customHeight="false" outlineLevel="0" collapsed="false">
      <c r="A263" s="18"/>
      <c r="B263" s="18"/>
      <c r="C263" s="12"/>
      <c r="D263" s="18"/>
      <c r="E263" s="18"/>
      <c r="F263" s="18"/>
      <c r="G263" s="12"/>
      <c r="H263" s="12"/>
      <c r="I263" s="18"/>
    </row>
    <row r="264" customFormat="false" ht="15" hidden="false" customHeight="false" outlineLevel="0" collapsed="false">
      <c r="A264" s="18"/>
      <c r="B264" s="18"/>
      <c r="C264" s="12"/>
      <c r="D264" s="18"/>
      <c r="E264" s="18"/>
      <c r="F264" s="18"/>
      <c r="G264" s="12"/>
      <c r="H264" s="12"/>
      <c r="I264" s="18"/>
    </row>
    <row r="265" customFormat="false" ht="15" hidden="false" customHeight="false" outlineLevel="0" collapsed="false">
      <c r="A265" s="18"/>
      <c r="B265" s="18"/>
      <c r="C265" s="12"/>
      <c r="D265" s="18"/>
      <c r="E265" s="18"/>
      <c r="F265" s="18"/>
      <c r="G265" s="12"/>
      <c r="H265" s="12"/>
      <c r="I265" s="18"/>
    </row>
    <row r="266" customFormat="false" ht="15" hidden="false" customHeight="false" outlineLevel="0" collapsed="false">
      <c r="A266" s="18"/>
      <c r="B266" s="18"/>
      <c r="C266" s="12"/>
      <c r="D266" s="18"/>
      <c r="E266" s="18"/>
      <c r="F266" s="18"/>
      <c r="G266" s="12"/>
      <c r="H266" s="12"/>
      <c r="I266" s="18"/>
    </row>
    <row r="267" customFormat="false" ht="15" hidden="false" customHeight="false" outlineLevel="0" collapsed="false">
      <c r="A267" s="18"/>
      <c r="B267" s="18"/>
      <c r="C267" s="12"/>
      <c r="D267" s="18"/>
      <c r="E267" s="18"/>
      <c r="F267" s="18"/>
      <c r="G267" s="12"/>
      <c r="H267" s="12"/>
      <c r="I267" s="18"/>
    </row>
    <row r="268" customFormat="false" ht="15" hidden="false" customHeight="false" outlineLevel="0" collapsed="false">
      <c r="A268" s="18"/>
      <c r="B268" s="18"/>
      <c r="C268" s="12"/>
      <c r="D268" s="18"/>
      <c r="E268" s="18"/>
      <c r="F268" s="18"/>
      <c r="G268" s="12"/>
      <c r="H268" s="12"/>
      <c r="I268" s="18"/>
    </row>
    <row r="269" customFormat="false" ht="15" hidden="false" customHeight="false" outlineLevel="0" collapsed="false">
      <c r="A269" s="18"/>
      <c r="B269" s="18"/>
      <c r="C269" s="12"/>
      <c r="D269" s="18"/>
      <c r="E269" s="18"/>
      <c r="F269" s="18"/>
      <c r="G269" s="12"/>
      <c r="H269" s="12"/>
      <c r="I269" s="18"/>
    </row>
    <row r="270" customFormat="false" ht="15" hidden="false" customHeight="false" outlineLevel="0" collapsed="false">
      <c r="A270" s="18"/>
      <c r="B270" s="18"/>
      <c r="C270" s="12"/>
      <c r="D270" s="18"/>
      <c r="E270" s="18"/>
      <c r="F270" s="18"/>
      <c r="G270" s="12"/>
      <c r="H270" s="12"/>
      <c r="I270" s="18"/>
    </row>
    <row r="271" customFormat="false" ht="15" hidden="false" customHeight="false" outlineLevel="0" collapsed="false">
      <c r="A271" s="18"/>
      <c r="B271" s="18"/>
      <c r="C271" s="12"/>
      <c r="D271" s="18"/>
      <c r="E271" s="18"/>
      <c r="F271" s="18"/>
      <c r="G271" s="12"/>
      <c r="H271" s="12"/>
      <c r="I271" s="18"/>
    </row>
    <row r="272" customFormat="false" ht="15" hidden="false" customHeight="false" outlineLevel="0" collapsed="false">
      <c r="A272" s="18"/>
      <c r="B272" s="18"/>
      <c r="C272" s="12"/>
      <c r="D272" s="18"/>
      <c r="E272" s="18"/>
      <c r="F272" s="18"/>
      <c r="G272" s="12"/>
      <c r="H272" s="12"/>
      <c r="I272" s="18"/>
    </row>
    <row r="273" customFormat="false" ht="15" hidden="false" customHeight="false" outlineLevel="0" collapsed="false">
      <c r="A273" s="18"/>
      <c r="B273" s="18"/>
      <c r="C273" s="12"/>
      <c r="D273" s="18"/>
      <c r="E273" s="18"/>
      <c r="F273" s="18"/>
      <c r="G273" s="12"/>
      <c r="H273" s="12"/>
      <c r="I273" s="18"/>
    </row>
    <row r="274" customFormat="false" ht="15" hidden="false" customHeight="false" outlineLevel="0" collapsed="false">
      <c r="A274" s="18"/>
      <c r="B274" s="18"/>
      <c r="C274" s="12"/>
      <c r="D274" s="18"/>
      <c r="E274" s="18"/>
      <c r="F274" s="18"/>
      <c r="G274" s="12"/>
      <c r="H274" s="12"/>
      <c r="I274" s="18"/>
    </row>
    <row r="275" customFormat="false" ht="15" hidden="false" customHeight="false" outlineLevel="0" collapsed="false">
      <c r="A275" s="18"/>
      <c r="B275" s="18"/>
      <c r="C275" s="12"/>
      <c r="D275" s="18"/>
      <c r="E275" s="18"/>
      <c r="F275" s="18"/>
      <c r="G275" s="12"/>
      <c r="H275" s="12"/>
      <c r="I275" s="18"/>
    </row>
    <row r="276" customFormat="false" ht="15" hidden="false" customHeight="false" outlineLevel="0" collapsed="false">
      <c r="A276" s="18"/>
      <c r="B276" s="18"/>
      <c r="C276" s="12"/>
      <c r="D276" s="18"/>
      <c r="E276" s="18"/>
      <c r="F276" s="18"/>
      <c r="G276" s="12"/>
      <c r="H276" s="12"/>
      <c r="I276" s="18"/>
    </row>
    <row r="277" customFormat="false" ht="15" hidden="false" customHeight="false" outlineLevel="0" collapsed="false">
      <c r="A277" s="18"/>
      <c r="B277" s="18"/>
      <c r="C277" s="12"/>
      <c r="D277" s="18"/>
      <c r="E277" s="18"/>
      <c r="F277" s="18"/>
      <c r="G277" s="12"/>
      <c r="H277" s="12"/>
      <c r="I277" s="18"/>
    </row>
    <row r="278" customFormat="false" ht="15" hidden="false" customHeight="false" outlineLevel="0" collapsed="false">
      <c r="A278" s="18"/>
      <c r="B278" s="18"/>
      <c r="C278" s="12"/>
      <c r="D278" s="18"/>
      <c r="E278" s="18"/>
      <c r="F278" s="18"/>
      <c r="G278" s="12"/>
      <c r="H278" s="12"/>
      <c r="I278" s="18"/>
    </row>
    <row r="279" customFormat="false" ht="15" hidden="false" customHeight="false" outlineLevel="0" collapsed="false">
      <c r="A279" s="18"/>
      <c r="B279" s="18"/>
      <c r="C279" s="12"/>
      <c r="D279" s="18"/>
      <c r="E279" s="18"/>
      <c r="F279" s="18"/>
      <c r="G279" s="12"/>
      <c r="H279" s="12"/>
      <c r="I279" s="18"/>
    </row>
    <row r="280" customFormat="false" ht="15" hidden="false" customHeight="false" outlineLevel="0" collapsed="false">
      <c r="A280" s="18"/>
      <c r="B280" s="18"/>
      <c r="C280" s="12"/>
      <c r="D280" s="18"/>
      <c r="E280" s="18"/>
      <c r="F280" s="18"/>
      <c r="G280" s="12"/>
      <c r="H280" s="12"/>
      <c r="I280" s="18"/>
    </row>
    <row r="281" customFormat="false" ht="15" hidden="false" customHeight="false" outlineLevel="0" collapsed="false">
      <c r="A281" s="18"/>
      <c r="B281" s="18"/>
      <c r="C281" s="12"/>
      <c r="D281" s="18"/>
      <c r="E281" s="18"/>
      <c r="F281" s="18"/>
      <c r="G281" s="12"/>
      <c r="H281" s="12"/>
      <c r="I281" s="18"/>
    </row>
    <row r="282" customFormat="false" ht="15" hidden="false" customHeight="false" outlineLevel="0" collapsed="false">
      <c r="A282" s="18"/>
      <c r="B282" s="18"/>
      <c r="C282" s="12"/>
      <c r="D282" s="18"/>
      <c r="E282" s="18"/>
      <c r="F282" s="18"/>
      <c r="G282" s="12"/>
      <c r="H282" s="12"/>
      <c r="I282" s="18"/>
    </row>
    <row r="283" customFormat="false" ht="15" hidden="false" customHeight="false" outlineLevel="0" collapsed="false">
      <c r="A283" s="18"/>
      <c r="B283" s="18"/>
      <c r="C283" s="12"/>
      <c r="D283" s="18"/>
      <c r="E283" s="18"/>
      <c r="F283" s="18"/>
      <c r="G283" s="12"/>
      <c r="H283" s="12"/>
      <c r="I283" s="18"/>
    </row>
    <row r="284" customFormat="false" ht="15" hidden="false" customHeight="false" outlineLevel="0" collapsed="false">
      <c r="A284" s="18"/>
      <c r="B284" s="18"/>
      <c r="C284" s="12"/>
      <c r="D284" s="18"/>
      <c r="E284" s="18"/>
      <c r="F284" s="18"/>
      <c r="G284" s="12"/>
      <c r="H284" s="12"/>
      <c r="I284" s="18"/>
    </row>
    <row r="285" customFormat="false" ht="15" hidden="false" customHeight="false" outlineLevel="0" collapsed="false">
      <c r="A285" s="18"/>
      <c r="B285" s="18"/>
      <c r="C285" s="12"/>
      <c r="D285" s="18"/>
      <c r="E285" s="18"/>
      <c r="F285" s="18"/>
      <c r="G285" s="12"/>
      <c r="H285" s="12"/>
      <c r="I285" s="18"/>
    </row>
    <row r="286" customFormat="false" ht="15" hidden="false" customHeight="false" outlineLevel="0" collapsed="false">
      <c r="A286" s="18"/>
      <c r="B286" s="18"/>
      <c r="C286" s="12"/>
      <c r="D286" s="18"/>
      <c r="E286" s="18"/>
      <c r="F286" s="18"/>
      <c r="G286" s="12"/>
      <c r="H286" s="12"/>
      <c r="I286" s="18"/>
    </row>
    <row r="287" customFormat="false" ht="15" hidden="false" customHeight="false" outlineLevel="0" collapsed="false">
      <c r="A287" s="18"/>
      <c r="B287" s="18"/>
      <c r="C287" s="12"/>
      <c r="D287" s="18"/>
      <c r="E287" s="18"/>
      <c r="F287" s="18"/>
      <c r="G287" s="12"/>
      <c r="H287" s="12"/>
      <c r="I287" s="18"/>
    </row>
    <row r="288" customFormat="false" ht="15" hidden="false" customHeight="false" outlineLevel="0" collapsed="false">
      <c r="A288" s="18"/>
      <c r="B288" s="18"/>
      <c r="C288" s="12"/>
      <c r="D288" s="18"/>
      <c r="E288" s="18"/>
      <c r="F288" s="18"/>
      <c r="G288" s="12"/>
      <c r="H288" s="12"/>
      <c r="I288" s="18"/>
    </row>
    <row r="289" customFormat="false" ht="15" hidden="false" customHeight="false" outlineLevel="0" collapsed="false">
      <c r="A289" s="18"/>
      <c r="B289" s="18"/>
      <c r="C289" s="12"/>
      <c r="D289" s="18"/>
      <c r="E289" s="18"/>
      <c r="F289" s="18"/>
      <c r="G289" s="12"/>
      <c r="H289" s="12"/>
      <c r="I289" s="18"/>
    </row>
    <row r="290" customFormat="false" ht="15" hidden="false" customHeight="false" outlineLevel="0" collapsed="false">
      <c r="A290" s="18"/>
      <c r="B290" s="18"/>
      <c r="C290" s="12"/>
      <c r="D290" s="18"/>
      <c r="E290" s="18"/>
      <c r="F290" s="18"/>
      <c r="G290" s="12"/>
      <c r="H290" s="12"/>
      <c r="I290" s="18"/>
    </row>
    <row r="291" customFormat="false" ht="15" hidden="false" customHeight="false" outlineLevel="0" collapsed="false">
      <c r="A291" s="18"/>
      <c r="B291" s="18"/>
      <c r="C291" s="12"/>
      <c r="D291" s="18"/>
      <c r="E291" s="18"/>
      <c r="F291" s="18"/>
      <c r="G291" s="12"/>
      <c r="H291" s="12"/>
      <c r="I291" s="18"/>
    </row>
    <row r="292" customFormat="false" ht="15" hidden="false" customHeight="false" outlineLevel="0" collapsed="false">
      <c r="A292" s="18"/>
      <c r="B292" s="18"/>
      <c r="C292" s="12"/>
      <c r="D292" s="18"/>
      <c r="E292" s="18"/>
      <c r="F292" s="18"/>
      <c r="G292" s="12"/>
      <c r="H292" s="12"/>
      <c r="I292" s="18"/>
    </row>
    <row r="293" customFormat="false" ht="15" hidden="false" customHeight="false" outlineLevel="0" collapsed="false">
      <c r="A293" s="18"/>
      <c r="B293" s="18"/>
      <c r="C293" s="12"/>
      <c r="D293" s="18"/>
      <c r="E293" s="18"/>
      <c r="F293" s="18"/>
      <c r="G293" s="12"/>
      <c r="H293" s="12"/>
      <c r="I293" s="18"/>
    </row>
    <row r="294" customFormat="false" ht="15" hidden="false" customHeight="false" outlineLevel="0" collapsed="false">
      <c r="A294" s="18"/>
      <c r="B294" s="18"/>
      <c r="C294" s="12"/>
      <c r="D294" s="18"/>
      <c r="E294" s="18"/>
      <c r="F294" s="18"/>
      <c r="G294" s="12"/>
      <c r="H294" s="12"/>
      <c r="I294" s="18"/>
    </row>
    <row r="295" customFormat="false" ht="15" hidden="false" customHeight="false" outlineLevel="0" collapsed="false">
      <c r="A295" s="18"/>
      <c r="B295" s="18"/>
      <c r="C295" s="12"/>
      <c r="D295" s="18"/>
      <c r="E295" s="18"/>
      <c r="F295" s="18"/>
      <c r="G295" s="12"/>
      <c r="H295" s="12"/>
      <c r="I295" s="18"/>
    </row>
    <row r="296" customFormat="false" ht="15" hidden="false" customHeight="false" outlineLevel="0" collapsed="false">
      <c r="A296" s="18"/>
      <c r="B296" s="18"/>
      <c r="C296" s="12"/>
      <c r="D296" s="18"/>
      <c r="E296" s="18"/>
      <c r="F296" s="18"/>
      <c r="G296" s="12"/>
      <c r="H296" s="12"/>
      <c r="I296" s="18"/>
    </row>
    <row r="297" customFormat="false" ht="15" hidden="false" customHeight="false" outlineLevel="0" collapsed="false">
      <c r="A297" s="18"/>
      <c r="B297" s="18"/>
      <c r="C297" s="12"/>
      <c r="D297" s="18"/>
      <c r="E297" s="18"/>
      <c r="F297" s="18"/>
      <c r="G297" s="12"/>
      <c r="H297" s="12"/>
      <c r="I297" s="18"/>
    </row>
    <row r="298" customFormat="false" ht="15" hidden="false" customHeight="false" outlineLevel="0" collapsed="false">
      <c r="A298" s="18"/>
      <c r="B298" s="18"/>
      <c r="C298" s="12"/>
      <c r="D298" s="18"/>
      <c r="E298" s="18"/>
      <c r="F298" s="18"/>
      <c r="G298" s="12"/>
      <c r="H298" s="12"/>
      <c r="I298" s="18"/>
    </row>
    <row r="299" customFormat="false" ht="15" hidden="false" customHeight="false" outlineLevel="0" collapsed="false">
      <c r="A299" s="18"/>
      <c r="B299" s="18"/>
      <c r="C299" s="12"/>
      <c r="D299" s="18"/>
      <c r="E299" s="18"/>
      <c r="F299" s="18"/>
      <c r="G299" s="12"/>
      <c r="H299" s="12"/>
      <c r="I299" s="18"/>
    </row>
    <row r="300" customFormat="false" ht="15" hidden="false" customHeight="false" outlineLevel="0" collapsed="false">
      <c r="A300" s="18"/>
      <c r="B300" s="18"/>
      <c r="C300" s="12"/>
      <c r="D300" s="18"/>
      <c r="E300" s="18"/>
      <c r="F300" s="18"/>
      <c r="G300" s="12"/>
      <c r="H300" s="12"/>
      <c r="I300" s="18"/>
    </row>
  </sheetData>
  <dataValidations count="3">
    <dataValidation allowBlank="true" errorStyle="stop" operator="between" showDropDown="false" showErrorMessage="false" showInputMessage="false" sqref="C4:C300" type="list">
      <formula1>"人名,公司/學校,手機(口語),手機(數字),市話,電子郵件,身分證,網址,地址,陷阱-年份,陷阱-金額,陷阱-時間"</formula1>
      <formula2>0</formula2>
    </dataValidation>
    <dataValidation allowBlank="true" errorStyle="stop" operator="between" showDropDown="false" showErrorMessage="false" showInputMessage="false" sqref="G4:G300" type="list">
      <formula1>"遮蔽,洩漏,過度"</formula1>
      <formula2>0</formula2>
    </dataValidation>
    <dataValidation allowBlank="true" errorStyle="stop" operator="between" showDropDown="false" showErrorMessage="false" showInputMessage="false" sqref="H4:H300" type="list">
      <formula1>"Y,N,–"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24"/>
  </cols>
  <sheetData>
    <row r="1" customFormat="false" ht="20.1" hidden="false" customHeight="false" outlineLevel="0" collapsed="false">
      <c r="A1" s="1" t="s">
        <v>391</v>
      </c>
    </row>
    <row r="2" customFormat="false" ht="15" hidden="false" customHeight="false" outlineLevel="0" collapsed="false">
      <c r="A2" s="20" t="s">
        <v>392</v>
      </c>
    </row>
    <row r="3" customFormat="false" ht="30" hidden="false" customHeight="true" outlineLevel="0" collapsed="false">
      <c r="A3" s="8" t="s">
        <v>365</v>
      </c>
      <c r="B3" s="8" t="s">
        <v>366</v>
      </c>
      <c r="C3" s="8" t="s">
        <v>393</v>
      </c>
      <c r="D3" s="8" t="s">
        <v>394</v>
      </c>
      <c r="E3" s="9" t="s">
        <v>395</v>
      </c>
      <c r="F3" s="8" t="s">
        <v>396</v>
      </c>
      <c r="G3" s="8" t="s">
        <v>397</v>
      </c>
      <c r="H3" s="8" t="s">
        <v>398</v>
      </c>
      <c r="I3" s="8" t="s">
        <v>399</v>
      </c>
      <c r="J3" s="8" t="s">
        <v>400</v>
      </c>
      <c r="K3" s="8" t="s">
        <v>60</v>
      </c>
    </row>
    <row r="4" customFormat="false" ht="15" hidden="false" customHeight="false" outlineLevel="0" collapsed="false">
      <c r="A4" s="10" t="s">
        <v>372</v>
      </c>
      <c r="B4" s="11" t="s">
        <v>401</v>
      </c>
      <c r="C4" s="11" t="s">
        <v>402</v>
      </c>
      <c r="D4" s="11" t="s">
        <v>403</v>
      </c>
      <c r="E4" s="10" t="n">
        <v>0.062</v>
      </c>
      <c r="F4" s="10" t="n">
        <v>0.94</v>
      </c>
      <c r="G4" s="10" t="n">
        <v>0</v>
      </c>
      <c r="H4" s="10" t="n">
        <v>0.31</v>
      </c>
      <c r="I4" s="11" t="s">
        <v>404</v>
      </c>
      <c r="J4" s="10" t="n">
        <v>4.5</v>
      </c>
      <c r="K4" s="10" t="s">
        <v>69</v>
      </c>
    </row>
    <row r="5" customFormat="false" ht="15" hidden="false" customHeight="false" outlineLevel="0" collapsed="false">
      <c r="A5" s="18"/>
      <c r="B5" s="18"/>
      <c r="C5" s="12"/>
      <c r="D5" s="18"/>
      <c r="E5" s="18"/>
      <c r="F5" s="18"/>
      <c r="G5" s="18"/>
      <c r="H5" s="18"/>
      <c r="I5" s="18"/>
      <c r="J5" s="18"/>
      <c r="K5" s="18"/>
    </row>
    <row r="6" customFormat="false" ht="15" hidden="false" customHeight="false" outlineLevel="0" collapsed="false">
      <c r="A6" s="18"/>
      <c r="B6" s="18"/>
      <c r="C6" s="12"/>
      <c r="D6" s="18"/>
      <c r="E6" s="18"/>
      <c r="F6" s="18"/>
      <c r="G6" s="18"/>
      <c r="H6" s="18"/>
      <c r="I6" s="18"/>
      <c r="J6" s="18"/>
      <c r="K6" s="18"/>
    </row>
    <row r="7" customFormat="false" ht="15" hidden="false" customHeight="false" outlineLevel="0" collapsed="false">
      <c r="A7" s="18"/>
      <c r="B7" s="18"/>
      <c r="C7" s="12"/>
      <c r="D7" s="18"/>
      <c r="E7" s="18"/>
      <c r="F7" s="18"/>
      <c r="G7" s="18"/>
      <c r="H7" s="18"/>
      <c r="I7" s="18"/>
      <c r="J7" s="18"/>
      <c r="K7" s="18"/>
    </row>
    <row r="8" customFormat="false" ht="15" hidden="false" customHeight="false" outlineLevel="0" collapsed="false">
      <c r="A8" s="18"/>
      <c r="B8" s="18"/>
      <c r="C8" s="12"/>
      <c r="D8" s="18"/>
      <c r="E8" s="18"/>
      <c r="F8" s="18"/>
      <c r="G8" s="18"/>
      <c r="H8" s="18"/>
      <c r="I8" s="18"/>
      <c r="J8" s="18"/>
      <c r="K8" s="18"/>
    </row>
    <row r="9" customFormat="false" ht="15" hidden="false" customHeight="false" outlineLevel="0" collapsed="false">
      <c r="A9" s="18"/>
      <c r="B9" s="18"/>
      <c r="C9" s="12"/>
      <c r="D9" s="18"/>
      <c r="E9" s="18"/>
      <c r="F9" s="18"/>
      <c r="G9" s="18"/>
      <c r="H9" s="18"/>
      <c r="I9" s="18"/>
      <c r="J9" s="18"/>
      <c r="K9" s="18"/>
    </row>
    <row r="10" customFormat="false" ht="15" hidden="false" customHeight="false" outlineLevel="0" collapsed="false">
      <c r="A10" s="18"/>
      <c r="B10" s="18"/>
      <c r="C10" s="12"/>
      <c r="D10" s="18"/>
      <c r="E10" s="18"/>
      <c r="F10" s="18"/>
      <c r="G10" s="18"/>
      <c r="H10" s="18"/>
      <c r="I10" s="18"/>
      <c r="J10" s="18"/>
      <c r="K10" s="18"/>
    </row>
    <row r="11" customFormat="false" ht="15" hidden="false" customHeight="false" outlineLevel="0" collapsed="false">
      <c r="A11" s="18"/>
      <c r="B11" s="18"/>
      <c r="C11" s="12"/>
      <c r="D11" s="18"/>
      <c r="E11" s="18"/>
      <c r="F11" s="18"/>
      <c r="G11" s="18"/>
      <c r="H11" s="18"/>
      <c r="I11" s="18"/>
      <c r="J11" s="18"/>
      <c r="K11" s="18"/>
    </row>
    <row r="12" customFormat="false" ht="15" hidden="false" customHeight="false" outlineLevel="0" collapsed="false">
      <c r="A12" s="18"/>
      <c r="B12" s="18"/>
      <c r="C12" s="12"/>
      <c r="D12" s="18"/>
      <c r="E12" s="18"/>
      <c r="F12" s="18"/>
      <c r="G12" s="18"/>
      <c r="H12" s="18"/>
      <c r="I12" s="18"/>
      <c r="J12" s="18"/>
      <c r="K12" s="18"/>
    </row>
    <row r="13" customFormat="false" ht="15" hidden="false" customHeight="false" outlineLevel="0" collapsed="false">
      <c r="A13" s="18"/>
      <c r="B13" s="18"/>
      <c r="C13" s="12"/>
      <c r="D13" s="18"/>
      <c r="E13" s="18"/>
      <c r="F13" s="18"/>
      <c r="G13" s="18"/>
      <c r="H13" s="18"/>
      <c r="I13" s="18"/>
      <c r="J13" s="18"/>
      <c r="K13" s="18"/>
    </row>
    <row r="14" customFormat="false" ht="15" hidden="false" customHeight="false" outlineLevel="0" collapsed="false">
      <c r="A14" s="18"/>
      <c r="B14" s="18"/>
      <c r="C14" s="12"/>
      <c r="D14" s="18"/>
      <c r="E14" s="18"/>
      <c r="F14" s="18"/>
      <c r="G14" s="18"/>
      <c r="H14" s="18"/>
      <c r="I14" s="18"/>
      <c r="J14" s="18"/>
      <c r="K14" s="18"/>
    </row>
    <row r="15" customFormat="false" ht="15" hidden="false" customHeight="false" outlineLevel="0" collapsed="false">
      <c r="A15" s="18"/>
      <c r="B15" s="18"/>
      <c r="C15" s="12"/>
      <c r="D15" s="18"/>
      <c r="E15" s="18"/>
      <c r="F15" s="18"/>
      <c r="G15" s="18"/>
      <c r="H15" s="18"/>
      <c r="I15" s="18"/>
      <c r="J15" s="18"/>
      <c r="K15" s="18"/>
    </row>
    <row r="16" customFormat="false" ht="15" hidden="false" customHeight="false" outlineLevel="0" collapsed="false">
      <c r="A16" s="18"/>
      <c r="B16" s="18"/>
      <c r="C16" s="12"/>
      <c r="D16" s="18"/>
      <c r="E16" s="18"/>
      <c r="F16" s="18"/>
      <c r="G16" s="18"/>
      <c r="H16" s="18"/>
      <c r="I16" s="18"/>
      <c r="J16" s="18"/>
      <c r="K16" s="18"/>
    </row>
    <row r="17" customFormat="false" ht="15" hidden="false" customHeight="false" outlineLevel="0" collapsed="false">
      <c r="A17" s="18"/>
      <c r="B17" s="18"/>
      <c r="C17" s="12"/>
      <c r="D17" s="18"/>
      <c r="E17" s="18"/>
      <c r="F17" s="18"/>
      <c r="G17" s="18"/>
      <c r="H17" s="18"/>
      <c r="I17" s="18"/>
      <c r="J17" s="18"/>
      <c r="K17" s="18"/>
    </row>
    <row r="18" customFormat="false" ht="15" hidden="false" customHeight="false" outlineLevel="0" collapsed="false">
      <c r="A18" s="18"/>
      <c r="B18" s="18"/>
      <c r="C18" s="12"/>
      <c r="D18" s="18"/>
      <c r="E18" s="18"/>
      <c r="F18" s="18"/>
      <c r="G18" s="18"/>
      <c r="H18" s="18"/>
      <c r="I18" s="18"/>
      <c r="J18" s="18"/>
      <c r="K18" s="18"/>
    </row>
    <row r="19" customFormat="false" ht="15" hidden="false" customHeight="false" outlineLevel="0" collapsed="false">
      <c r="A19" s="18"/>
      <c r="B19" s="18"/>
      <c r="C19" s="12"/>
      <c r="D19" s="18"/>
      <c r="E19" s="18"/>
      <c r="F19" s="18"/>
      <c r="G19" s="18"/>
      <c r="H19" s="18"/>
      <c r="I19" s="18"/>
      <c r="J19" s="18"/>
      <c r="K19" s="18"/>
    </row>
    <row r="20" customFormat="false" ht="15" hidden="false" customHeight="false" outlineLevel="0" collapsed="false">
      <c r="A20" s="18"/>
      <c r="B20" s="18"/>
      <c r="C20" s="12"/>
      <c r="D20" s="18"/>
      <c r="E20" s="18"/>
      <c r="F20" s="18"/>
      <c r="G20" s="18"/>
      <c r="H20" s="18"/>
      <c r="I20" s="18"/>
      <c r="J20" s="18"/>
      <c r="K20" s="18"/>
    </row>
    <row r="21" customFormat="false" ht="15" hidden="false" customHeight="false" outlineLevel="0" collapsed="false">
      <c r="A21" s="18"/>
      <c r="B21" s="18"/>
      <c r="C21" s="12"/>
      <c r="D21" s="18"/>
      <c r="E21" s="18"/>
      <c r="F21" s="18"/>
      <c r="G21" s="18"/>
      <c r="H21" s="18"/>
      <c r="I21" s="18"/>
      <c r="J21" s="18"/>
      <c r="K21" s="18"/>
    </row>
    <row r="22" customFormat="false" ht="15" hidden="false" customHeight="false" outlineLevel="0" collapsed="false">
      <c r="A22" s="18"/>
      <c r="B22" s="18"/>
      <c r="C22" s="12"/>
      <c r="D22" s="18"/>
      <c r="E22" s="18"/>
      <c r="F22" s="18"/>
      <c r="G22" s="18"/>
      <c r="H22" s="18"/>
      <c r="I22" s="18"/>
      <c r="J22" s="18"/>
      <c r="K22" s="18"/>
    </row>
    <row r="23" customFormat="false" ht="15" hidden="false" customHeight="false" outlineLevel="0" collapsed="false">
      <c r="A23" s="18"/>
      <c r="B23" s="18"/>
      <c r="C23" s="12"/>
      <c r="D23" s="18"/>
      <c r="E23" s="18"/>
      <c r="F23" s="18"/>
      <c r="G23" s="18"/>
      <c r="H23" s="18"/>
      <c r="I23" s="18"/>
      <c r="J23" s="18"/>
      <c r="K23" s="18"/>
    </row>
    <row r="24" customFormat="false" ht="15" hidden="false" customHeight="false" outlineLevel="0" collapsed="false">
      <c r="A24" s="18"/>
      <c r="B24" s="18"/>
      <c r="C24" s="12"/>
      <c r="D24" s="18"/>
      <c r="E24" s="18"/>
      <c r="F24" s="18"/>
      <c r="G24" s="18"/>
      <c r="H24" s="18"/>
      <c r="I24" s="18"/>
      <c r="J24" s="18"/>
      <c r="K24" s="18"/>
    </row>
    <row r="25" customFormat="false" ht="15" hidden="false" customHeight="false" outlineLevel="0" collapsed="false">
      <c r="A25" s="18"/>
      <c r="B25" s="18"/>
      <c r="C25" s="12"/>
      <c r="D25" s="18"/>
      <c r="E25" s="18"/>
      <c r="F25" s="18"/>
      <c r="G25" s="18"/>
      <c r="H25" s="18"/>
      <c r="I25" s="18"/>
      <c r="J25" s="18"/>
      <c r="K25" s="18"/>
    </row>
    <row r="26" customFormat="false" ht="15" hidden="false" customHeight="false" outlineLevel="0" collapsed="false">
      <c r="A26" s="18"/>
      <c r="B26" s="18"/>
      <c r="C26" s="12"/>
      <c r="D26" s="18"/>
      <c r="E26" s="18"/>
      <c r="F26" s="18"/>
      <c r="G26" s="18"/>
      <c r="H26" s="18"/>
      <c r="I26" s="18"/>
      <c r="J26" s="18"/>
      <c r="K26" s="18"/>
    </row>
    <row r="27" customFormat="false" ht="15" hidden="false" customHeight="false" outlineLevel="0" collapsed="false">
      <c r="A27" s="18"/>
      <c r="B27" s="18"/>
      <c r="C27" s="12"/>
      <c r="D27" s="18"/>
      <c r="E27" s="18"/>
      <c r="F27" s="18"/>
      <c r="G27" s="18"/>
      <c r="H27" s="18"/>
      <c r="I27" s="18"/>
      <c r="J27" s="18"/>
      <c r="K27" s="18"/>
    </row>
    <row r="28" customFormat="false" ht="15" hidden="false" customHeight="false" outlineLevel="0" collapsed="false">
      <c r="A28" s="18"/>
      <c r="B28" s="18"/>
      <c r="C28" s="12"/>
      <c r="D28" s="18"/>
      <c r="E28" s="18"/>
      <c r="F28" s="18"/>
      <c r="G28" s="18"/>
      <c r="H28" s="18"/>
      <c r="I28" s="18"/>
      <c r="J28" s="18"/>
      <c r="K28" s="18"/>
    </row>
    <row r="29" customFormat="false" ht="15" hidden="false" customHeight="false" outlineLevel="0" collapsed="false">
      <c r="A29" s="18"/>
      <c r="B29" s="18"/>
      <c r="C29" s="12"/>
      <c r="D29" s="18"/>
      <c r="E29" s="18"/>
      <c r="F29" s="18"/>
      <c r="G29" s="18"/>
      <c r="H29" s="18"/>
      <c r="I29" s="18"/>
      <c r="J29" s="18"/>
      <c r="K29" s="18"/>
    </row>
    <row r="30" customFormat="false" ht="15" hidden="false" customHeight="false" outlineLevel="0" collapsed="false">
      <c r="A30" s="18"/>
      <c r="B30" s="18"/>
      <c r="C30" s="12"/>
      <c r="D30" s="18"/>
      <c r="E30" s="18"/>
      <c r="F30" s="18"/>
      <c r="G30" s="18"/>
      <c r="H30" s="18"/>
      <c r="I30" s="18"/>
      <c r="J30" s="18"/>
      <c r="K30" s="18"/>
    </row>
    <row r="31" customFormat="false" ht="15" hidden="false" customHeight="false" outlineLevel="0" collapsed="false">
      <c r="A31" s="18"/>
      <c r="B31" s="18"/>
      <c r="C31" s="12"/>
      <c r="D31" s="18"/>
      <c r="E31" s="18"/>
      <c r="F31" s="18"/>
      <c r="G31" s="18"/>
      <c r="H31" s="18"/>
      <c r="I31" s="18"/>
      <c r="J31" s="18"/>
      <c r="K31" s="18"/>
    </row>
    <row r="32" customFormat="false" ht="15" hidden="false" customHeight="false" outlineLevel="0" collapsed="false">
      <c r="A32" s="18"/>
      <c r="B32" s="18"/>
      <c r="C32" s="12"/>
      <c r="D32" s="18"/>
      <c r="E32" s="18"/>
      <c r="F32" s="18"/>
      <c r="G32" s="18"/>
      <c r="H32" s="18"/>
      <c r="I32" s="18"/>
      <c r="J32" s="18"/>
      <c r="K32" s="18"/>
    </row>
    <row r="33" customFormat="false" ht="15" hidden="false" customHeight="false" outlineLevel="0" collapsed="false">
      <c r="A33" s="18"/>
      <c r="B33" s="18"/>
      <c r="C33" s="12"/>
      <c r="D33" s="18"/>
      <c r="E33" s="18"/>
      <c r="F33" s="18"/>
      <c r="G33" s="18"/>
      <c r="H33" s="18"/>
      <c r="I33" s="18"/>
      <c r="J33" s="18"/>
      <c r="K33" s="18"/>
    </row>
    <row r="34" customFormat="false" ht="15" hidden="false" customHeight="false" outlineLevel="0" collapsed="false">
      <c r="A34" s="18"/>
      <c r="B34" s="18"/>
      <c r="C34" s="12"/>
      <c r="D34" s="18"/>
      <c r="E34" s="18"/>
      <c r="F34" s="18"/>
      <c r="G34" s="18"/>
      <c r="H34" s="18"/>
      <c r="I34" s="18"/>
      <c r="J34" s="18"/>
      <c r="K34" s="18"/>
    </row>
    <row r="35" customFormat="false" ht="15" hidden="false" customHeight="false" outlineLevel="0" collapsed="false">
      <c r="A35" s="18"/>
      <c r="B35" s="18"/>
      <c r="C35" s="12"/>
      <c r="D35" s="18"/>
      <c r="E35" s="18"/>
      <c r="F35" s="18"/>
      <c r="G35" s="18"/>
      <c r="H35" s="18"/>
      <c r="I35" s="18"/>
      <c r="J35" s="18"/>
      <c r="K35" s="18"/>
    </row>
    <row r="36" customFormat="false" ht="15" hidden="false" customHeight="false" outlineLevel="0" collapsed="false">
      <c r="A36" s="18"/>
      <c r="B36" s="18"/>
      <c r="C36" s="12"/>
      <c r="D36" s="18"/>
      <c r="E36" s="18"/>
      <c r="F36" s="18"/>
      <c r="G36" s="18"/>
      <c r="H36" s="18"/>
      <c r="I36" s="18"/>
      <c r="J36" s="18"/>
      <c r="K36" s="18"/>
    </row>
    <row r="37" customFormat="false" ht="15" hidden="false" customHeight="false" outlineLevel="0" collapsed="false">
      <c r="A37" s="18"/>
      <c r="B37" s="18"/>
      <c r="C37" s="12"/>
      <c r="D37" s="18"/>
      <c r="E37" s="18"/>
      <c r="F37" s="18"/>
      <c r="G37" s="18"/>
      <c r="H37" s="18"/>
      <c r="I37" s="18"/>
      <c r="J37" s="18"/>
      <c r="K37" s="18"/>
    </row>
    <row r="38" customFormat="false" ht="15" hidden="false" customHeight="false" outlineLevel="0" collapsed="false">
      <c r="A38" s="18"/>
      <c r="B38" s="18"/>
      <c r="C38" s="12"/>
      <c r="D38" s="18"/>
      <c r="E38" s="18"/>
      <c r="F38" s="18"/>
      <c r="G38" s="18"/>
      <c r="H38" s="18"/>
      <c r="I38" s="18"/>
      <c r="J38" s="18"/>
      <c r="K38" s="18"/>
    </row>
    <row r="39" customFormat="false" ht="15" hidden="false" customHeight="false" outlineLevel="0" collapsed="false">
      <c r="A39" s="18"/>
      <c r="B39" s="18"/>
      <c r="C39" s="12"/>
      <c r="D39" s="18"/>
      <c r="E39" s="18"/>
      <c r="F39" s="18"/>
      <c r="G39" s="18"/>
      <c r="H39" s="18"/>
      <c r="I39" s="18"/>
      <c r="J39" s="18"/>
      <c r="K39" s="18"/>
    </row>
    <row r="40" customFormat="false" ht="15" hidden="false" customHeight="false" outlineLevel="0" collapsed="false">
      <c r="A40" s="18"/>
      <c r="B40" s="18"/>
      <c r="C40" s="12"/>
      <c r="D40" s="18"/>
      <c r="E40" s="18"/>
      <c r="F40" s="18"/>
      <c r="G40" s="18"/>
      <c r="H40" s="18"/>
      <c r="I40" s="18"/>
      <c r="J40" s="18"/>
      <c r="K40" s="18"/>
    </row>
    <row r="41" customFormat="false" ht="15" hidden="false" customHeight="false" outlineLevel="0" collapsed="false">
      <c r="A41" s="18"/>
      <c r="B41" s="18"/>
      <c r="C41" s="12"/>
      <c r="D41" s="18"/>
      <c r="E41" s="18"/>
      <c r="F41" s="18"/>
      <c r="G41" s="18"/>
      <c r="H41" s="18"/>
      <c r="I41" s="18"/>
      <c r="J41" s="18"/>
      <c r="K41" s="18"/>
    </row>
    <row r="42" customFormat="false" ht="15" hidden="false" customHeight="false" outlineLevel="0" collapsed="false">
      <c r="A42" s="18"/>
      <c r="B42" s="18"/>
      <c r="C42" s="12"/>
      <c r="D42" s="18"/>
      <c r="E42" s="18"/>
      <c r="F42" s="18"/>
      <c r="G42" s="18"/>
      <c r="H42" s="18"/>
      <c r="I42" s="18"/>
      <c r="J42" s="18"/>
      <c r="K42" s="18"/>
    </row>
    <row r="43" customFormat="false" ht="15" hidden="false" customHeight="false" outlineLevel="0" collapsed="false">
      <c r="A43" s="18"/>
      <c r="B43" s="18"/>
      <c r="C43" s="12"/>
      <c r="D43" s="18"/>
      <c r="E43" s="18"/>
      <c r="F43" s="18"/>
      <c r="G43" s="18"/>
      <c r="H43" s="18"/>
      <c r="I43" s="18"/>
      <c r="J43" s="18"/>
      <c r="K43" s="18"/>
    </row>
    <row r="44" customFormat="false" ht="15" hidden="false" customHeight="false" outlineLevel="0" collapsed="false">
      <c r="A44" s="18"/>
      <c r="B44" s="18"/>
      <c r="C44" s="12"/>
      <c r="D44" s="18"/>
      <c r="E44" s="18"/>
      <c r="F44" s="18"/>
      <c r="G44" s="18"/>
      <c r="H44" s="18"/>
      <c r="I44" s="18"/>
      <c r="J44" s="18"/>
      <c r="K44" s="18"/>
    </row>
    <row r="45" customFormat="false" ht="15" hidden="false" customHeight="false" outlineLevel="0" collapsed="false">
      <c r="A45" s="18"/>
      <c r="B45" s="18"/>
      <c r="C45" s="12"/>
      <c r="D45" s="18"/>
      <c r="E45" s="18"/>
      <c r="F45" s="18"/>
      <c r="G45" s="18"/>
      <c r="H45" s="18"/>
      <c r="I45" s="18"/>
      <c r="J45" s="18"/>
      <c r="K45" s="18"/>
    </row>
    <row r="46" customFormat="false" ht="15" hidden="false" customHeight="false" outlineLevel="0" collapsed="false">
      <c r="A46" s="18"/>
      <c r="B46" s="18"/>
      <c r="C46" s="12"/>
      <c r="D46" s="18"/>
      <c r="E46" s="18"/>
      <c r="F46" s="18"/>
      <c r="G46" s="18"/>
      <c r="H46" s="18"/>
      <c r="I46" s="18"/>
      <c r="J46" s="18"/>
      <c r="K46" s="18"/>
    </row>
    <row r="47" customFormat="false" ht="15" hidden="false" customHeight="false" outlineLevel="0" collapsed="false">
      <c r="A47" s="18"/>
      <c r="B47" s="18"/>
      <c r="C47" s="12"/>
      <c r="D47" s="18"/>
      <c r="E47" s="18"/>
      <c r="F47" s="18"/>
      <c r="G47" s="18"/>
      <c r="H47" s="18"/>
      <c r="I47" s="18"/>
      <c r="J47" s="18"/>
      <c r="K47" s="18"/>
    </row>
    <row r="48" customFormat="false" ht="15" hidden="false" customHeight="false" outlineLevel="0" collapsed="false">
      <c r="A48" s="18"/>
      <c r="B48" s="18"/>
      <c r="C48" s="12"/>
      <c r="D48" s="18"/>
      <c r="E48" s="18"/>
      <c r="F48" s="18"/>
      <c r="G48" s="18"/>
      <c r="H48" s="18"/>
      <c r="I48" s="18"/>
      <c r="J48" s="18"/>
      <c r="K48" s="18"/>
    </row>
    <row r="49" customFormat="false" ht="15" hidden="false" customHeight="false" outlineLevel="0" collapsed="false">
      <c r="A49" s="18"/>
      <c r="B49" s="18"/>
      <c r="C49" s="12"/>
      <c r="D49" s="18"/>
      <c r="E49" s="18"/>
      <c r="F49" s="18"/>
      <c r="G49" s="18"/>
      <c r="H49" s="18"/>
      <c r="I49" s="18"/>
      <c r="J49" s="18"/>
      <c r="K49" s="18"/>
    </row>
    <row r="50" customFormat="false" ht="15" hidden="false" customHeight="false" outlineLevel="0" collapsed="false">
      <c r="A50" s="18"/>
      <c r="B50" s="18"/>
      <c r="C50" s="12"/>
      <c r="D50" s="18"/>
      <c r="E50" s="18"/>
      <c r="F50" s="18"/>
      <c r="G50" s="18"/>
      <c r="H50" s="18"/>
      <c r="I50" s="18"/>
      <c r="J50" s="18"/>
      <c r="K50" s="18"/>
    </row>
    <row r="51" customFormat="false" ht="15" hidden="false" customHeight="false" outlineLevel="0" collapsed="false">
      <c r="A51" s="18"/>
      <c r="B51" s="18"/>
      <c r="C51" s="12"/>
      <c r="D51" s="18"/>
      <c r="E51" s="18"/>
      <c r="F51" s="18"/>
      <c r="G51" s="18"/>
      <c r="H51" s="18"/>
      <c r="I51" s="18"/>
      <c r="J51" s="18"/>
      <c r="K51" s="18"/>
    </row>
    <row r="52" customFormat="false" ht="15" hidden="false" customHeight="false" outlineLevel="0" collapsed="false">
      <c r="A52" s="18"/>
      <c r="B52" s="18"/>
      <c r="C52" s="12"/>
      <c r="D52" s="18"/>
      <c r="E52" s="18"/>
      <c r="F52" s="18"/>
      <c r="G52" s="18"/>
      <c r="H52" s="18"/>
      <c r="I52" s="18"/>
      <c r="J52" s="18"/>
      <c r="K52" s="18"/>
    </row>
    <row r="53" customFormat="false" ht="15" hidden="false" customHeight="false" outlineLevel="0" collapsed="false">
      <c r="A53" s="18"/>
      <c r="B53" s="18"/>
      <c r="C53" s="12"/>
      <c r="D53" s="18"/>
      <c r="E53" s="18"/>
      <c r="F53" s="18"/>
      <c r="G53" s="18"/>
      <c r="H53" s="18"/>
      <c r="I53" s="18"/>
      <c r="J53" s="18"/>
      <c r="K53" s="18"/>
    </row>
    <row r="54" customFormat="false" ht="15" hidden="false" customHeight="false" outlineLevel="0" collapsed="false">
      <c r="A54" s="18"/>
      <c r="B54" s="18"/>
      <c r="C54" s="12"/>
      <c r="D54" s="18"/>
      <c r="E54" s="18"/>
      <c r="F54" s="18"/>
      <c r="G54" s="18"/>
      <c r="H54" s="18"/>
      <c r="I54" s="18"/>
      <c r="J54" s="18"/>
      <c r="K54" s="18"/>
    </row>
    <row r="55" customFormat="false" ht="15" hidden="false" customHeight="false" outlineLevel="0" collapsed="false">
      <c r="A55" s="18"/>
      <c r="B55" s="18"/>
      <c r="C55" s="12"/>
      <c r="D55" s="18"/>
      <c r="E55" s="18"/>
      <c r="F55" s="18"/>
      <c r="G55" s="18"/>
      <c r="H55" s="18"/>
      <c r="I55" s="18"/>
      <c r="J55" s="18"/>
      <c r="K55" s="18"/>
    </row>
    <row r="56" customFormat="false" ht="15" hidden="false" customHeight="false" outlineLevel="0" collapsed="false">
      <c r="A56" s="18"/>
      <c r="B56" s="18"/>
      <c r="C56" s="12"/>
      <c r="D56" s="18"/>
      <c r="E56" s="18"/>
      <c r="F56" s="18"/>
      <c r="G56" s="18"/>
      <c r="H56" s="18"/>
      <c r="I56" s="18"/>
      <c r="J56" s="18"/>
      <c r="K56" s="18"/>
    </row>
    <row r="57" customFormat="false" ht="15" hidden="false" customHeight="false" outlineLevel="0" collapsed="false">
      <c r="A57" s="18"/>
      <c r="B57" s="18"/>
      <c r="C57" s="12"/>
      <c r="D57" s="18"/>
      <c r="E57" s="18"/>
      <c r="F57" s="18"/>
      <c r="G57" s="18"/>
      <c r="H57" s="18"/>
      <c r="I57" s="18"/>
      <c r="J57" s="18"/>
      <c r="K57" s="18"/>
    </row>
    <row r="58" customFormat="false" ht="15" hidden="false" customHeight="false" outlineLevel="0" collapsed="false">
      <c r="A58" s="18"/>
      <c r="B58" s="18"/>
      <c r="C58" s="12"/>
      <c r="D58" s="18"/>
      <c r="E58" s="18"/>
      <c r="F58" s="18"/>
      <c r="G58" s="18"/>
      <c r="H58" s="18"/>
      <c r="I58" s="18"/>
      <c r="J58" s="18"/>
      <c r="K58" s="18"/>
    </row>
    <row r="59" customFormat="false" ht="15" hidden="false" customHeight="false" outlineLevel="0" collapsed="false">
      <c r="A59" s="18"/>
      <c r="B59" s="18"/>
      <c r="C59" s="12"/>
      <c r="D59" s="18"/>
      <c r="E59" s="18"/>
      <c r="F59" s="18"/>
      <c r="G59" s="18"/>
      <c r="H59" s="18"/>
      <c r="I59" s="18"/>
      <c r="J59" s="18"/>
      <c r="K59" s="18"/>
    </row>
    <row r="60" customFormat="false" ht="15" hidden="false" customHeight="false" outlineLevel="0" collapsed="false">
      <c r="A60" s="18"/>
      <c r="B60" s="18"/>
      <c r="C60" s="12"/>
      <c r="D60" s="18"/>
      <c r="E60" s="18"/>
      <c r="F60" s="18"/>
      <c r="G60" s="18"/>
      <c r="H60" s="18"/>
      <c r="I60" s="18"/>
      <c r="J60" s="18"/>
      <c r="K60" s="18"/>
    </row>
    <row r="61" customFormat="false" ht="15" hidden="false" customHeight="false" outlineLevel="0" collapsed="false">
      <c r="A61" s="18"/>
      <c r="B61" s="18"/>
      <c r="C61" s="12"/>
      <c r="D61" s="18"/>
      <c r="E61" s="18"/>
      <c r="F61" s="18"/>
      <c r="G61" s="18"/>
      <c r="H61" s="18"/>
      <c r="I61" s="18"/>
      <c r="J61" s="18"/>
      <c r="K61" s="18"/>
    </row>
    <row r="62" customFormat="false" ht="15" hidden="false" customHeight="false" outlineLevel="0" collapsed="false">
      <c r="A62" s="18"/>
      <c r="B62" s="18"/>
      <c r="C62" s="12"/>
      <c r="D62" s="18"/>
      <c r="E62" s="18"/>
      <c r="F62" s="18"/>
      <c r="G62" s="18"/>
      <c r="H62" s="18"/>
      <c r="I62" s="18"/>
      <c r="J62" s="18"/>
      <c r="K62" s="18"/>
    </row>
    <row r="63" customFormat="false" ht="15" hidden="false" customHeight="false" outlineLevel="0" collapsed="false">
      <c r="A63" s="18"/>
      <c r="B63" s="18"/>
      <c r="C63" s="12"/>
      <c r="D63" s="18"/>
      <c r="E63" s="18"/>
      <c r="F63" s="18"/>
      <c r="G63" s="18"/>
      <c r="H63" s="18"/>
      <c r="I63" s="18"/>
      <c r="J63" s="18"/>
      <c r="K63" s="18"/>
    </row>
    <row r="64" customFormat="false" ht="15" hidden="false" customHeight="false" outlineLevel="0" collapsed="false">
      <c r="A64" s="18"/>
      <c r="B64" s="18"/>
      <c r="C64" s="12"/>
      <c r="D64" s="18"/>
      <c r="E64" s="18"/>
      <c r="F64" s="18"/>
      <c r="G64" s="18"/>
      <c r="H64" s="18"/>
      <c r="I64" s="18"/>
      <c r="J64" s="18"/>
      <c r="K64" s="18"/>
    </row>
    <row r="65" customFormat="false" ht="15" hidden="false" customHeight="false" outlineLevel="0" collapsed="false">
      <c r="A65" s="18"/>
      <c r="B65" s="18"/>
      <c r="C65" s="12"/>
      <c r="D65" s="18"/>
      <c r="E65" s="18"/>
      <c r="F65" s="18"/>
      <c r="G65" s="18"/>
      <c r="H65" s="18"/>
      <c r="I65" s="18"/>
      <c r="J65" s="18"/>
      <c r="K65" s="18"/>
    </row>
    <row r="66" customFormat="false" ht="15" hidden="false" customHeight="false" outlineLevel="0" collapsed="false">
      <c r="A66" s="18"/>
      <c r="B66" s="18"/>
      <c r="C66" s="12"/>
      <c r="D66" s="18"/>
      <c r="E66" s="18"/>
      <c r="F66" s="18"/>
      <c r="G66" s="18"/>
      <c r="H66" s="18"/>
      <c r="I66" s="18"/>
      <c r="J66" s="18"/>
      <c r="K66" s="18"/>
    </row>
    <row r="67" customFormat="false" ht="15" hidden="false" customHeight="false" outlineLevel="0" collapsed="false">
      <c r="A67" s="18"/>
      <c r="B67" s="18"/>
      <c r="C67" s="12"/>
      <c r="D67" s="18"/>
      <c r="E67" s="18"/>
      <c r="F67" s="18"/>
      <c r="G67" s="18"/>
      <c r="H67" s="18"/>
      <c r="I67" s="18"/>
      <c r="J67" s="18"/>
      <c r="K67" s="18"/>
    </row>
    <row r="68" customFormat="false" ht="15" hidden="false" customHeight="false" outlineLevel="0" collapsed="false">
      <c r="A68" s="18"/>
      <c r="B68" s="18"/>
      <c r="C68" s="12"/>
      <c r="D68" s="18"/>
      <c r="E68" s="18"/>
      <c r="F68" s="18"/>
      <c r="G68" s="18"/>
      <c r="H68" s="18"/>
      <c r="I68" s="18"/>
      <c r="J68" s="18"/>
      <c r="K68" s="18"/>
    </row>
    <row r="69" customFormat="false" ht="15" hidden="false" customHeight="false" outlineLevel="0" collapsed="false">
      <c r="A69" s="18"/>
      <c r="B69" s="18"/>
      <c r="C69" s="12"/>
      <c r="D69" s="18"/>
      <c r="E69" s="18"/>
      <c r="F69" s="18"/>
      <c r="G69" s="18"/>
      <c r="H69" s="18"/>
      <c r="I69" s="18"/>
      <c r="J69" s="18"/>
      <c r="K69" s="18"/>
    </row>
    <row r="70" customFormat="false" ht="15" hidden="false" customHeight="false" outlineLevel="0" collapsed="false">
      <c r="A70" s="18"/>
      <c r="B70" s="18"/>
      <c r="C70" s="12"/>
      <c r="D70" s="18"/>
      <c r="E70" s="18"/>
      <c r="F70" s="18"/>
      <c r="G70" s="18"/>
      <c r="H70" s="18"/>
      <c r="I70" s="18"/>
      <c r="J70" s="18"/>
      <c r="K70" s="18"/>
    </row>
    <row r="71" customFormat="false" ht="15" hidden="false" customHeight="false" outlineLevel="0" collapsed="false">
      <c r="A71" s="18"/>
      <c r="B71" s="18"/>
      <c r="C71" s="12"/>
      <c r="D71" s="18"/>
      <c r="E71" s="18"/>
      <c r="F71" s="18"/>
      <c r="G71" s="18"/>
      <c r="H71" s="18"/>
      <c r="I71" s="18"/>
      <c r="J71" s="18"/>
      <c r="K71" s="18"/>
    </row>
    <row r="72" customFormat="false" ht="15" hidden="false" customHeight="false" outlineLevel="0" collapsed="false">
      <c r="A72" s="18"/>
      <c r="B72" s="18"/>
      <c r="C72" s="12"/>
      <c r="D72" s="18"/>
      <c r="E72" s="18"/>
      <c r="F72" s="18"/>
      <c r="G72" s="18"/>
      <c r="H72" s="18"/>
      <c r="I72" s="18"/>
      <c r="J72" s="18"/>
      <c r="K72" s="18"/>
    </row>
    <row r="73" customFormat="false" ht="15" hidden="false" customHeight="false" outlineLevel="0" collapsed="false">
      <c r="A73" s="18"/>
      <c r="B73" s="18"/>
      <c r="C73" s="12"/>
      <c r="D73" s="18"/>
      <c r="E73" s="18"/>
      <c r="F73" s="18"/>
      <c r="G73" s="18"/>
      <c r="H73" s="18"/>
      <c r="I73" s="18"/>
      <c r="J73" s="18"/>
      <c r="K73" s="18"/>
    </row>
    <row r="74" customFormat="false" ht="15" hidden="false" customHeight="false" outlineLevel="0" collapsed="false">
      <c r="A74" s="18"/>
      <c r="B74" s="18"/>
      <c r="C74" s="12"/>
      <c r="D74" s="18"/>
      <c r="E74" s="18"/>
      <c r="F74" s="18"/>
      <c r="G74" s="18"/>
      <c r="H74" s="18"/>
      <c r="I74" s="18"/>
      <c r="J74" s="18"/>
      <c r="K74" s="18"/>
    </row>
    <row r="75" customFormat="false" ht="15" hidden="false" customHeight="false" outlineLevel="0" collapsed="false">
      <c r="A75" s="18"/>
      <c r="B75" s="18"/>
      <c r="C75" s="12"/>
      <c r="D75" s="18"/>
      <c r="E75" s="18"/>
      <c r="F75" s="18"/>
      <c r="G75" s="18"/>
      <c r="H75" s="18"/>
      <c r="I75" s="18"/>
      <c r="J75" s="18"/>
      <c r="K75" s="18"/>
    </row>
    <row r="76" customFormat="false" ht="15" hidden="false" customHeight="false" outlineLevel="0" collapsed="false">
      <c r="A76" s="18"/>
      <c r="B76" s="18"/>
      <c r="C76" s="12"/>
      <c r="D76" s="18"/>
      <c r="E76" s="18"/>
      <c r="F76" s="18"/>
      <c r="G76" s="18"/>
      <c r="H76" s="18"/>
      <c r="I76" s="18"/>
      <c r="J76" s="18"/>
      <c r="K76" s="18"/>
    </row>
    <row r="77" customFormat="false" ht="15" hidden="false" customHeight="false" outlineLevel="0" collapsed="false">
      <c r="A77" s="18"/>
      <c r="B77" s="18"/>
      <c r="C77" s="12"/>
      <c r="D77" s="18"/>
      <c r="E77" s="18"/>
      <c r="F77" s="18"/>
      <c r="G77" s="18"/>
      <c r="H77" s="18"/>
      <c r="I77" s="18"/>
      <c r="J77" s="18"/>
      <c r="K77" s="18"/>
    </row>
    <row r="78" customFormat="false" ht="15" hidden="false" customHeight="false" outlineLevel="0" collapsed="false">
      <c r="A78" s="18"/>
      <c r="B78" s="18"/>
      <c r="C78" s="12"/>
      <c r="D78" s="18"/>
      <c r="E78" s="18"/>
      <c r="F78" s="18"/>
      <c r="G78" s="18"/>
      <c r="H78" s="18"/>
      <c r="I78" s="18"/>
      <c r="J78" s="18"/>
      <c r="K78" s="18"/>
    </row>
    <row r="79" customFormat="false" ht="15" hidden="false" customHeight="false" outlineLevel="0" collapsed="false">
      <c r="A79" s="18"/>
      <c r="B79" s="18"/>
      <c r="C79" s="12"/>
      <c r="D79" s="18"/>
      <c r="E79" s="18"/>
      <c r="F79" s="18"/>
      <c r="G79" s="18"/>
      <c r="H79" s="18"/>
      <c r="I79" s="18"/>
      <c r="J79" s="18"/>
      <c r="K79" s="18"/>
    </row>
    <row r="80" customFormat="false" ht="15" hidden="false" customHeight="false" outlineLevel="0" collapsed="false">
      <c r="A80" s="18"/>
      <c r="B80" s="18"/>
      <c r="C80" s="12"/>
      <c r="D80" s="18"/>
      <c r="E80" s="18"/>
      <c r="F80" s="18"/>
      <c r="G80" s="18"/>
      <c r="H80" s="18"/>
      <c r="I80" s="18"/>
      <c r="J80" s="18"/>
      <c r="K80" s="18"/>
    </row>
    <row r="81" customFormat="false" ht="15" hidden="false" customHeight="false" outlineLevel="0" collapsed="false">
      <c r="A81" s="18"/>
      <c r="B81" s="18"/>
      <c r="C81" s="12"/>
      <c r="D81" s="18"/>
      <c r="E81" s="18"/>
      <c r="F81" s="18"/>
      <c r="G81" s="18"/>
      <c r="H81" s="18"/>
      <c r="I81" s="18"/>
      <c r="J81" s="18"/>
      <c r="K81" s="18"/>
    </row>
    <row r="82" customFormat="false" ht="15" hidden="false" customHeight="false" outlineLevel="0" collapsed="false">
      <c r="A82" s="18"/>
      <c r="B82" s="18"/>
      <c r="C82" s="12"/>
      <c r="D82" s="18"/>
      <c r="E82" s="18"/>
      <c r="F82" s="18"/>
      <c r="G82" s="18"/>
      <c r="H82" s="18"/>
      <c r="I82" s="18"/>
      <c r="J82" s="18"/>
      <c r="K82" s="18"/>
    </row>
    <row r="83" customFormat="false" ht="15" hidden="false" customHeight="false" outlineLevel="0" collapsed="false">
      <c r="A83" s="18"/>
      <c r="B83" s="18"/>
      <c r="C83" s="12"/>
      <c r="D83" s="18"/>
      <c r="E83" s="18"/>
      <c r="F83" s="18"/>
      <c r="G83" s="18"/>
      <c r="H83" s="18"/>
      <c r="I83" s="18"/>
      <c r="J83" s="18"/>
      <c r="K83" s="18"/>
    </row>
    <row r="84" customFormat="false" ht="15" hidden="false" customHeight="false" outlineLevel="0" collapsed="false">
      <c r="A84" s="18"/>
      <c r="B84" s="18"/>
      <c r="C84" s="12"/>
      <c r="D84" s="18"/>
      <c r="E84" s="18"/>
      <c r="F84" s="18"/>
      <c r="G84" s="18"/>
      <c r="H84" s="18"/>
      <c r="I84" s="18"/>
      <c r="J84" s="18"/>
      <c r="K84" s="18"/>
    </row>
    <row r="85" customFormat="false" ht="15" hidden="false" customHeight="false" outlineLevel="0" collapsed="false">
      <c r="A85" s="18"/>
      <c r="B85" s="18"/>
      <c r="C85" s="12"/>
      <c r="D85" s="18"/>
      <c r="E85" s="18"/>
      <c r="F85" s="18"/>
      <c r="G85" s="18"/>
      <c r="H85" s="18"/>
      <c r="I85" s="18"/>
      <c r="J85" s="18"/>
      <c r="K85" s="18"/>
    </row>
    <row r="86" customFormat="false" ht="15" hidden="false" customHeight="false" outlineLevel="0" collapsed="false">
      <c r="A86" s="18"/>
      <c r="B86" s="18"/>
      <c r="C86" s="12"/>
      <c r="D86" s="18"/>
      <c r="E86" s="18"/>
      <c r="F86" s="18"/>
      <c r="G86" s="18"/>
      <c r="H86" s="18"/>
      <c r="I86" s="18"/>
      <c r="J86" s="18"/>
      <c r="K86" s="18"/>
    </row>
    <row r="87" customFormat="false" ht="15" hidden="false" customHeight="false" outlineLevel="0" collapsed="false">
      <c r="A87" s="18"/>
      <c r="B87" s="18"/>
      <c r="C87" s="12"/>
      <c r="D87" s="18"/>
      <c r="E87" s="18"/>
      <c r="F87" s="18"/>
      <c r="G87" s="18"/>
      <c r="H87" s="18"/>
      <c r="I87" s="18"/>
      <c r="J87" s="18"/>
      <c r="K87" s="18"/>
    </row>
    <row r="88" customFormat="false" ht="15" hidden="false" customHeight="false" outlineLevel="0" collapsed="false">
      <c r="A88" s="18"/>
      <c r="B88" s="18"/>
      <c r="C88" s="12"/>
      <c r="D88" s="18"/>
      <c r="E88" s="18"/>
      <c r="F88" s="18"/>
      <c r="G88" s="18"/>
      <c r="H88" s="18"/>
      <c r="I88" s="18"/>
      <c r="J88" s="18"/>
      <c r="K88" s="18"/>
    </row>
    <row r="89" customFormat="false" ht="15" hidden="false" customHeight="false" outlineLevel="0" collapsed="false">
      <c r="A89" s="18"/>
      <c r="B89" s="18"/>
      <c r="C89" s="12"/>
      <c r="D89" s="18"/>
      <c r="E89" s="18"/>
      <c r="F89" s="18"/>
      <c r="G89" s="18"/>
      <c r="H89" s="18"/>
      <c r="I89" s="18"/>
      <c r="J89" s="18"/>
      <c r="K89" s="18"/>
    </row>
    <row r="90" customFormat="false" ht="15" hidden="false" customHeight="false" outlineLevel="0" collapsed="false">
      <c r="A90" s="18"/>
      <c r="B90" s="18"/>
      <c r="C90" s="12"/>
      <c r="D90" s="18"/>
      <c r="E90" s="18"/>
      <c r="F90" s="18"/>
      <c r="G90" s="18"/>
      <c r="H90" s="18"/>
      <c r="I90" s="18"/>
      <c r="J90" s="18"/>
      <c r="K90" s="18"/>
    </row>
    <row r="91" customFormat="false" ht="15" hidden="false" customHeight="false" outlineLevel="0" collapsed="false">
      <c r="A91" s="18"/>
      <c r="B91" s="18"/>
      <c r="C91" s="12"/>
      <c r="D91" s="18"/>
      <c r="E91" s="18"/>
      <c r="F91" s="18"/>
      <c r="G91" s="18"/>
      <c r="H91" s="18"/>
      <c r="I91" s="18"/>
      <c r="J91" s="18"/>
      <c r="K91" s="18"/>
    </row>
    <row r="92" customFormat="false" ht="15" hidden="false" customHeight="false" outlineLevel="0" collapsed="false">
      <c r="A92" s="18"/>
      <c r="B92" s="18"/>
      <c r="C92" s="12"/>
      <c r="D92" s="18"/>
      <c r="E92" s="18"/>
      <c r="F92" s="18"/>
      <c r="G92" s="18"/>
      <c r="H92" s="18"/>
      <c r="I92" s="18"/>
      <c r="J92" s="18"/>
      <c r="K92" s="18"/>
    </row>
    <row r="93" customFormat="false" ht="15" hidden="false" customHeight="false" outlineLevel="0" collapsed="false">
      <c r="A93" s="18"/>
      <c r="B93" s="18"/>
      <c r="C93" s="12"/>
      <c r="D93" s="18"/>
      <c r="E93" s="18"/>
      <c r="F93" s="18"/>
      <c r="G93" s="18"/>
      <c r="H93" s="18"/>
      <c r="I93" s="18"/>
      <c r="J93" s="18"/>
      <c r="K93" s="18"/>
    </row>
    <row r="94" customFormat="false" ht="15" hidden="false" customHeight="false" outlineLevel="0" collapsed="false">
      <c r="A94" s="18"/>
      <c r="B94" s="18"/>
      <c r="C94" s="12"/>
      <c r="D94" s="18"/>
      <c r="E94" s="18"/>
      <c r="F94" s="18"/>
      <c r="G94" s="18"/>
      <c r="H94" s="18"/>
      <c r="I94" s="18"/>
      <c r="J94" s="18"/>
      <c r="K94" s="18"/>
    </row>
    <row r="95" customFormat="false" ht="15" hidden="false" customHeight="false" outlineLevel="0" collapsed="false">
      <c r="A95" s="18"/>
      <c r="B95" s="18"/>
      <c r="C95" s="12"/>
      <c r="D95" s="18"/>
      <c r="E95" s="18"/>
      <c r="F95" s="18"/>
      <c r="G95" s="18"/>
      <c r="H95" s="18"/>
      <c r="I95" s="18"/>
      <c r="J95" s="18"/>
      <c r="K95" s="18"/>
    </row>
    <row r="96" customFormat="false" ht="15" hidden="false" customHeight="false" outlineLevel="0" collapsed="false">
      <c r="A96" s="18"/>
      <c r="B96" s="18"/>
      <c r="C96" s="12"/>
      <c r="D96" s="18"/>
      <c r="E96" s="18"/>
      <c r="F96" s="18"/>
      <c r="G96" s="18"/>
      <c r="H96" s="18"/>
      <c r="I96" s="18"/>
      <c r="J96" s="18"/>
      <c r="K96" s="18"/>
    </row>
    <row r="97" customFormat="false" ht="15" hidden="false" customHeight="false" outlineLevel="0" collapsed="false">
      <c r="A97" s="18"/>
      <c r="B97" s="18"/>
      <c r="C97" s="12"/>
      <c r="D97" s="18"/>
      <c r="E97" s="18"/>
      <c r="F97" s="18"/>
      <c r="G97" s="18"/>
      <c r="H97" s="18"/>
      <c r="I97" s="18"/>
      <c r="J97" s="18"/>
      <c r="K97" s="18"/>
    </row>
    <row r="98" customFormat="false" ht="15" hidden="false" customHeight="false" outlineLevel="0" collapsed="false">
      <c r="A98" s="18"/>
      <c r="B98" s="18"/>
      <c r="C98" s="12"/>
      <c r="D98" s="18"/>
      <c r="E98" s="18"/>
      <c r="F98" s="18"/>
      <c r="G98" s="18"/>
      <c r="H98" s="18"/>
      <c r="I98" s="18"/>
      <c r="J98" s="18"/>
      <c r="K98" s="18"/>
    </row>
    <row r="99" customFormat="false" ht="15" hidden="false" customHeight="false" outlineLevel="0" collapsed="false">
      <c r="A99" s="18"/>
      <c r="B99" s="18"/>
      <c r="C99" s="12"/>
      <c r="D99" s="18"/>
      <c r="E99" s="18"/>
      <c r="F99" s="18"/>
      <c r="G99" s="18"/>
      <c r="H99" s="18"/>
      <c r="I99" s="18"/>
      <c r="J99" s="18"/>
      <c r="K99" s="18"/>
    </row>
    <row r="100" customFormat="false" ht="15" hidden="false" customHeight="false" outlineLevel="0" collapsed="false">
      <c r="A100" s="18"/>
      <c r="B100" s="18"/>
      <c r="C100" s="12"/>
      <c r="D100" s="18"/>
      <c r="E100" s="18"/>
      <c r="F100" s="18"/>
      <c r="G100" s="18"/>
      <c r="H100" s="18"/>
      <c r="I100" s="18"/>
      <c r="J100" s="18"/>
      <c r="K100" s="18"/>
    </row>
    <row r="101" customFormat="false" ht="15" hidden="false" customHeight="false" outlineLevel="0" collapsed="false">
      <c r="A101" s="18"/>
      <c r="B101" s="18"/>
      <c r="C101" s="12"/>
      <c r="D101" s="18"/>
      <c r="E101" s="18"/>
      <c r="F101" s="18"/>
      <c r="G101" s="18"/>
      <c r="H101" s="18"/>
      <c r="I101" s="18"/>
      <c r="J101" s="18"/>
      <c r="K101" s="18"/>
    </row>
    <row r="102" customFormat="false" ht="15" hidden="false" customHeight="false" outlineLevel="0" collapsed="false">
      <c r="A102" s="18"/>
      <c r="B102" s="18"/>
      <c r="C102" s="12"/>
      <c r="D102" s="18"/>
      <c r="E102" s="18"/>
      <c r="F102" s="18"/>
      <c r="G102" s="18"/>
      <c r="H102" s="18"/>
      <c r="I102" s="18"/>
      <c r="J102" s="18"/>
      <c r="K102" s="18"/>
    </row>
    <row r="103" customFormat="false" ht="15" hidden="false" customHeight="false" outlineLevel="0" collapsed="false">
      <c r="A103" s="18"/>
      <c r="B103" s="18"/>
      <c r="C103" s="12"/>
      <c r="D103" s="18"/>
      <c r="E103" s="18"/>
      <c r="F103" s="18"/>
      <c r="G103" s="18"/>
      <c r="H103" s="18"/>
      <c r="I103" s="18"/>
      <c r="J103" s="18"/>
      <c r="K103" s="18"/>
    </row>
    <row r="104" customFormat="false" ht="15" hidden="false" customHeight="false" outlineLevel="0" collapsed="false">
      <c r="A104" s="18"/>
      <c r="B104" s="18"/>
      <c r="C104" s="12"/>
      <c r="D104" s="18"/>
      <c r="E104" s="18"/>
      <c r="F104" s="18"/>
      <c r="G104" s="18"/>
      <c r="H104" s="18"/>
      <c r="I104" s="18"/>
      <c r="J104" s="18"/>
      <c r="K104" s="18"/>
    </row>
    <row r="105" customFormat="false" ht="15" hidden="false" customHeight="false" outlineLevel="0" collapsed="false">
      <c r="A105" s="18"/>
      <c r="B105" s="18"/>
      <c r="C105" s="12"/>
      <c r="D105" s="18"/>
      <c r="E105" s="18"/>
      <c r="F105" s="18"/>
      <c r="G105" s="18"/>
      <c r="H105" s="18"/>
      <c r="I105" s="18"/>
      <c r="J105" s="18"/>
      <c r="K105" s="18"/>
    </row>
    <row r="106" customFormat="false" ht="15" hidden="false" customHeight="false" outlineLevel="0" collapsed="false">
      <c r="A106" s="18"/>
      <c r="B106" s="18"/>
      <c r="C106" s="12"/>
      <c r="D106" s="18"/>
      <c r="E106" s="18"/>
      <c r="F106" s="18"/>
      <c r="G106" s="18"/>
      <c r="H106" s="18"/>
      <c r="I106" s="18"/>
      <c r="J106" s="18"/>
      <c r="K106" s="18"/>
    </row>
    <row r="107" customFormat="false" ht="15" hidden="false" customHeight="false" outlineLevel="0" collapsed="false">
      <c r="A107" s="18"/>
      <c r="B107" s="18"/>
      <c r="C107" s="12"/>
      <c r="D107" s="18"/>
      <c r="E107" s="18"/>
      <c r="F107" s="18"/>
      <c r="G107" s="18"/>
      <c r="H107" s="18"/>
      <c r="I107" s="18"/>
      <c r="J107" s="18"/>
      <c r="K107" s="18"/>
    </row>
    <row r="108" customFormat="false" ht="15" hidden="false" customHeight="false" outlineLevel="0" collapsed="false">
      <c r="A108" s="18"/>
      <c r="B108" s="18"/>
      <c r="C108" s="12"/>
      <c r="D108" s="18"/>
      <c r="E108" s="18"/>
      <c r="F108" s="18"/>
      <c r="G108" s="18"/>
      <c r="H108" s="18"/>
      <c r="I108" s="18"/>
      <c r="J108" s="18"/>
      <c r="K108" s="18"/>
    </row>
    <row r="109" customFormat="false" ht="15" hidden="false" customHeight="false" outlineLevel="0" collapsed="false">
      <c r="A109" s="18"/>
      <c r="B109" s="18"/>
      <c r="C109" s="12"/>
      <c r="D109" s="18"/>
      <c r="E109" s="18"/>
      <c r="F109" s="18"/>
      <c r="G109" s="18"/>
      <c r="H109" s="18"/>
      <c r="I109" s="18"/>
      <c r="J109" s="18"/>
      <c r="K109" s="18"/>
    </row>
    <row r="110" customFormat="false" ht="15" hidden="false" customHeight="false" outlineLevel="0" collapsed="false">
      <c r="A110" s="18"/>
      <c r="B110" s="18"/>
      <c r="C110" s="12"/>
      <c r="D110" s="18"/>
      <c r="E110" s="18"/>
      <c r="F110" s="18"/>
      <c r="G110" s="18"/>
      <c r="H110" s="18"/>
      <c r="I110" s="18"/>
      <c r="J110" s="18"/>
      <c r="K110" s="18"/>
    </row>
    <row r="111" customFormat="false" ht="15" hidden="false" customHeight="false" outlineLevel="0" collapsed="false">
      <c r="A111" s="18"/>
      <c r="B111" s="18"/>
      <c r="C111" s="12"/>
      <c r="D111" s="18"/>
      <c r="E111" s="18"/>
      <c r="F111" s="18"/>
      <c r="G111" s="18"/>
      <c r="H111" s="18"/>
      <c r="I111" s="18"/>
      <c r="J111" s="18"/>
      <c r="K111" s="18"/>
    </row>
    <row r="112" customFormat="false" ht="15" hidden="false" customHeight="false" outlineLevel="0" collapsed="false">
      <c r="A112" s="18"/>
      <c r="B112" s="18"/>
      <c r="C112" s="12"/>
      <c r="D112" s="18"/>
      <c r="E112" s="18"/>
      <c r="F112" s="18"/>
      <c r="G112" s="18"/>
      <c r="H112" s="18"/>
      <c r="I112" s="18"/>
      <c r="J112" s="18"/>
      <c r="K112" s="18"/>
    </row>
    <row r="113" customFormat="false" ht="15" hidden="false" customHeight="false" outlineLevel="0" collapsed="false">
      <c r="A113" s="18"/>
      <c r="B113" s="18"/>
      <c r="C113" s="12"/>
      <c r="D113" s="18"/>
      <c r="E113" s="18"/>
      <c r="F113" s="18"/>
      <c r="G113" s="18"/>
      <c r="H113" s="18"/>
      <c r="I113" s="18"/>
      <c r="J113" s="18"/>
      <c r="K113" s="18"/>
    </row>
    <row r="114" customFormat="false" ht="15" hidden="false" customHeight="false" outlineLevel="0" collapsed="false">
      <c r="A114" s="18"/>
      <c r="B114" s="18"/>
      <c r="C114" s="12"/>
      <c r="D114" s="18"/>
      <c r="E114" s="18"/>
      <c r="F114" s="18"/>
      <c r="G114" s="18"/>
      <c r="H114" s="18"/>
      <c r="I114" s="18"/>
      <c r="J114" s="18"/>
      <c r="K114" s="18"/>
    </row>
    <row r="115" customFormat="false" ht="15" hidden="false" customHeight="false" outlineLevel="0" collapsed="false">
      <c r="A115" s="18"/>
      <c r="B115" s="18"/>
      <c r="C115" s="12"/>
      <c r="D115" s="18"/>
      <c r="E115" s="18"/>
      <c r="F115" s="18"/>
      <c r="G115" s="18"/>
      <c r="H115" s="18"/>
      <c r="I115" s="18"/>
      <c r="J115" s="18"/>
      <c r="K115" s="18"/>
    </row>
    <row r="116" customFormat="false" ht="15" hidden="false" customHeight="false" outlineLevel="0" collapsed="false">
      <c r="A116" s="18"/>
      <c r="B116" s="18"/>
      <c r="C116" s="12"/>
      <c r="D116" s="18"/>
      <c r="E116" s="18"/>
      <c r="F116" s="18"/>
      <c r="G116" s="18"/>
      <c r="H116" s="18"/>
      <c r="I116" s="18"/>
      <c r="J116" s="18"/>
      <c r="K116" s="18"/>
    </row>
    <row r="117" customFormat="false" ht="15" hidden="false" customHeight="false" outlineLevel="0" collapsed="false">
      <c r="A117" s="18"/>
      <c r="B117" s="18"/>
      <c r="C117" s="12"/>
      <c r="D117" s="18"/>
      <c r="E117" s="18"/>
      <c r="F117" s="18"/>
      <c r="G117" s="18"/>
      <c r="H117" s="18"/>
      <c r="I117" s="18"/>
      <c r="J117" s="18"/>
      <c r="K117" s="18"/>
    </row>
    <row r="118" customFormat="false" ht="15" hidden="false" customHeight="false" outlineLevel="0" collapsed="false">
      <c r="A118" s="18"/>
      <c r="B118" s="18"/>
      <c r="C118" s="12"/>
      <c r="D118" s="18"/>
      <c r="E118" s="18"/>
      <c r="F118" s="18"/>
      <c r="G118" s="18"/>
      <c r="H118" s="18"/>
      <c r="I118" s="18"/>
      <c r="J118" s="18"/>
      <c r="K118" s="18"/>
    </row>
    <row r="119" customFormat="false" ht="15" hidden="false" customHeight="false" outlineLevel="0" collapsed="false">
      <c r="A119" s="18"/>
      <c r="B119" s="18"/>
      <c r="C119" s="12"/>
      <c r="D119" s="18"/>
      <c r="E119" s="18"/>
      <c r="F119" s="18"/>
      <c r="G119" s="18"/>
      <c r="H119" s="18"/>
      <c r="I119" s="18"/>
      <c r="J119" s="18"/>
      <c r="K119" s="18"/>
    </row>
    <row r="120" customFormat="false" ht="15" hidden="false" customHeight="false" outlineLevel="0" collapsed="false">
      <c r="A120" s="18"/>
      <c r="B120" s="18"/>
      <c r="C120" s="12"/>
      <c r="D120" s="18"/>
      <c r="E120" s="18"/>
      <c r="F120" s="18"/>
      <c r="G120" s="18"/>
      <c r="H120" s="18"/>
      <c r="I120" s="18"/>
      <c r="J120" s="18"/>
      <c r="K120" s="18"/>
    </row>
    <row r="121" customFormat="false" ht="15" hidden="false" customHeight="false" outlineLevel="0" collapsed="false">
      <c r="A121" s="18"/>
      <c r="B121" s="18"/>
      <c r="C121" s="12"/>
      <c r="D121" s="18"/>
      <c r="E121" s="18"/>
      <c r="F121" s="18"/>
      <c r="G121" s="18"/>
      <c r="H121" s="18"/>
      <c r="I121" s="18"/>
      <c r="J121" s="18"/>
      <c r="K121" s="18"/>
    </row>
    <row r="122" customFormat="false" ht="15" hidden="false" customHeight="false" outlineLevel="0" collapsed="false">
      <c r="A122" s="18"/>
      <c r="B122" s="18"/>
      <c r="C122" s="12"/>
      <c r="D122" s="18"/>
      <c r="E122" s="18"/>
      <c r="F122" s="18"/>
      <c r="G122" s="18"/>
      <c r="H122" s="18"/>
      <c r="I122" s="18"/>
      <c r="J122" s="18"/>
      <c r="K122" s="18"/>
    </row>
    <row r="123" customFormat="false" ht="15" hidden="false" customHeight="false" outlineLevel="0" collapsed="false">
      <c r="A123" s="18"/>
      <c r="B123" s="18"/>
      <c r="C123" s="12"/>
      <c r="D123" s="18"/>
      <c r="E123" s="18"/>
      <c r="F123" s="18"/>
      <c r="G123" s="18"/>
      <c r="H123" s="18"/>
      <c r="I123" s="18"/>
      <c r="J123" s="18"/>
      <c r="K123" s="18"/>
    </row>
    <row r="124" customFormat="false" ht="15" hidden="false" customHeight="false" outlineLevel="0" collapsed="false">
      <c r="A124" s="18"/>
      <c r="B124" s="18"/>
      <c r="C124" s="12"/>
      <c r="D124" s="18"/>
      <c r="E124" s="18"/>
      <c r="F124" s="18"/>
      <c r="G124" s="18"/>
      <c r="H124" s="18"/>
      <c r="I124" s="18"/>
      <c r="J124" s="18"/>
      <c r="K124" s="18"/>
    </row>
    <row r="125" customFormat="false" ht="15" hidden="false" customHeight="false" outlineLevel="0" collapsed="false">
      <c r="A125" s="18"/>
      <c r="B125" s="18"/>
      <c r="C125" s="12"/>
      <c r="D125" s="18"/>
      <c r="E125" s="18"/>
      <c r="F125" s="18"/>
      <c r="G125" s="18"/>
      <c r="H125" s="18"/>
      <c r="I125" s="18"/>
      <c r="J125" s="18"/>
      <c r="K125" s="18"/>
    </row>
    <row r="126" customFormat="false" ht="15" hidden="false" customHeight="false" outlineLevel="0" collapsed="false">
      <c r="A126" s="18"/>
      <c r="B126" s="18"/>
      <c r="C126" s="12"/>
      <c r="D126" s="18"/>
      <c r="E126" s="18"/>
      <c r="F126" s="18"/>
      <c r="G126" s="18"/>
      <c r="H126" s="18"/>
      <c r="I126" s="18"/>
      <c r="J126" s="18"/>
      <c r="K126" s="18"/>
    </row>
    <row r="127" customFormat="false" ht="15" hidden="false" customHeight="false" outlineLevel="0" collapsed="false">
      <c r="A127" s="18"/>
      <c r="B127" s="18"/>
      <c r="C127" s="12"/>
      <c r="D127" s="18"/>
      <c r="E127" s="18"/>
      <c r="F127" s="18"/>
      <c r="G127" s="18"/>
      <c r="H127" s="18"/>
      <c r="I127" s="18"/>
      <c r="J127" s="18"/>
      <c r="K127" s="18"/>
    </row>
    <row r="128" customFormat="false" ht="15" hidden="false" customHeight="false" outlineLevel="0" collapsed="false">
      <c r="A128" s="18"/>
      <c r="B128" s="18"/>
      <c r="C128" s="12"/>
      <c r="D128" s="18"/>
      <c r="E128" s="18"/>
      <c r="F128" s="18"/>
      <c r="G128" s="18"/>
      <c r="H128" s="18"/>
      <c r="I128" s="18"/>
      <c r="J128" s="18"/>
      <c r="K128" s="18"/>
    </row>
    <row r="129" customFormat="false" ht="15" hidden="false" customHeight="false" outlineLevel="0" collapsed="false">
      <c r="A129" s="18"/>
      <c r="B129" s="18"/>
      <c r="C129" s="12"/>
      <c r="D129" s="18"/>
      <c r="E129" s="18"/>
      <c r="F129" s="18"/>
      <c r="G129" s="18"/>
      <c r="H129" s="18"/>
      <c r="I129" s="18"/>
      <c r="J129" s="18"/>
      <c r="K129" s="18"/>
    </row>
    <row r="130" customFormat="false" ht="15" hidden="false" customHeight="false" outlineLevel="0" collapsed="false">
      <c r="A130" s="18"/>
      <c r="B130" s="18"/>
      <c r="C130" s="12"/>
      <c r="D130" s="18"/>
      <c r="E130" s="18"/>
      <c r="F130" s="18"/>
      <c r="G130" s="18"/>
      <c r="H130" s="18"/>
      <c r="I130" s="18"/>
      <c r="J130" s="18"/>
      <c r="K130" s="18"/>
    </row>
    <row r="131" customFormat="false" ht="15" hidden="false" customHeight="false" outlineLevel="0" collapsed="false">
      <c r="A131" s="18"/>
      <c r="B131" s="18"/>
      <c r="C131" s="12"/>
      <c r="D131" s="18"/>
      <c r="E131" s="18"/>
      <c r="F131" s="18"/>
      <c r="G131" s="18"/>
      <c r="H131" s="18"/>
      <c r="I131" s="18"/>
      <c r="J131" s="18"/>
      <c r="K131" s="18"/>
    </row>
    <row r="132" customFormat="false" ht="15" hidden="false" customHeight="false" outlineLevel="0" collapsed="false">
      <c r="A132" s="18"/>
      <c r="B132" s="18"/>
      <c r="C132" s="12"/>
      <c r="D132" s="18"/>
      <c r="E132" s="18"/>
      <c r="F132" s="18"/>
      <c r="G132" s="18"/>
      <c r="H132" s="18"/>
      <c r="I132" s="18"/>
      <c r="J132" s="18"/>
      <c r="K132" s="18"/>
    </row>
    <row r="133" customFormat="false" ht="15" hidden="false" customHeight="false" outlineLevel="0" collapsed="false">
      <c r="A133" s="18"/>
      <c r="B133" s="18"/>
      <c r="C133" s="12"/>
      <c r="D133" s="18"/>
      <c r="E133" s="18"/>
      <c r="F133" s="18"/>
      <c r="G133" s="18"/>
      <c r="H133" s="18"/>
      <c r="I133" s="18"/>
      <c r="J133" s="18"/>
      <c r="K133" s="18"/>
    </row>
    <row r="134" customFormat="false" ht="15" hidden="false" customHeight="false" outlineLevel="0" collapsed="false">
      <c r="A134" s="18"/>
      <c r="B134" s="18"/>
      <c r="C134" s="12"/>
      <c r="D134" s="18"/>
      <c r="E134" s="18"/>
      <c r="F134" s="18"/>
      <c r="G134" s="18"/>
      <c r="H134" s="18"/>
      <c r="I134" s="18"/>
      <c r="J134" s="18"/>
      <c r="K134" s="18"/>
    </row>
    <row r="135" customFormat="false" ht="15" hidden="false" customHeight="false" outlineLevel="0" collapsed="false">
      <c r="A135" s="18"/>
      <c r="B135" s="18"/>
      <c r="C135" s="12"/>
      <c r="D135" s="18"/>
      <c r="E135" s="18"/>
      <c r="F135" s="18"/>
      <c r="G135" s="18"/>
      <c r="H135" s="18"/>
      <c r="I135" s="18"/>
      <c r="J135" s="18"/>
      <c r="K135" s="18"/>
    </row>
    <row r="136" customFormat="false" ht="15" hidden="false" customHeight="false" outlineLevel="0" collapsed="false">
      <c r="A136" s="18"/>
      <c r="B136" s="18"/>
      <c r="C136" s="12"/>
      <c r="D136" s="18"/>
      <c r="E136" s="18"/>
      <c r="F136" s="18"/>
      <c r="G136" s="18"/>
      <c r="H136" s="18"/>
      <c r="I136" s="18"/>
      <c r="J136" s="18"/>
      <c r="K136" s="18"/>
    </row>
    <row r="137" customFormat="false" ht="15" hidden="false" customHeight="false" outlineLevel="0" collapsed="false">
      <c r="A137" s="18"/>
      <c r="B137" s="18"/>
      <c r="C137" s="12"/>
      <c r="D137" s="18"/>
      <c r="E137" s="18"/>
      <c r="F137" s="18"/>
      <c r="G137" s="18"/>
      <c r="H137" s="18"/>
      <c r="I137" s="18"/>
      <c r="J137" s="18"/>
      <c r="K137" s="18"/>
    </row>
    <row r="138" customFormat="false" ht="15" hidden="false" customHeight="false" outlineLevel="0" collapsed="false">
      <c r="A138" s="18"/>
      <c r="B138" s="18"/>
      <c r="C138" s="12"/>
      <c r="D138" s="18"/>
      <c r="E138" s="18"/>
      <c r="F138" s="18"/>
      <c r="G138" s="18"/>
      <c r="H138" s="18"/>
      <c r="I138" s="18"/>
      <c r="J138" s="18"/>
      <c r="K138" s="18"/>
    </row>
    <row r="139" customFormat="false" ht="15" hidden="false" customHeight="false" outlineLevel="0" collapsed="false">
      <c r="A139" s="18"/>
      <c r="B139" s="18"/>
      <c r="C139" s="12"/>
      <c r="D139" s="18"/>
      <c r="E139" s="18"/>
      <c r="F139" s="18"/>
      <c r="G139" s="18"/>
      <c r="H139" s="18"/>
      <c r="I139" s="18"/>
      <c r="J139" s="18"/>
      <c r="K139" s="18"/>
    </row>
    <row r="140" customFormat="false" ht="15" hidden="false" customHeight="false" outlineLevel="0" collapsed="false">
      <c r="A140" s="18"/>
      <c r="B140" s="18"/>
      <c r="C140" s="12"/>
      <c r="D140" s="18"/>
      <c r="E140" s="18"/>
      <c r="F140" s="18"/>
      <c r="G140" s="18"/>
      <c r="H140" s="18"/>
      <c r="I140" s="18"/>
      <c r="J140" s="18"/>
      <c r="K140" s="18"/>
    </row>
    <row r="141" customFormat="false" ht="15" hidden="false" customHeight="false" outlineLevel="0" collapsed="false">
      <c r="A141" s="18"/>
      <c r="B141" s="18"/>
      <c r="C141" s="12"/>
      <c r="D141" s="18"/>
      <c r="E141" s="18"/>
      <c r="F141" s="18"/>
      <c r="G141" s="18"/>
      <c r="H141" s="18"/>
      <c r="I141" s="18"/>
      <c r="J141" s="18"/>
      <c r="K141" s="18"/>
    </row>
    <row r="142" customFormat="false" ht="15" hidden="false" customHeight="false" outlineLevel="0" collapsed="false">
      <c r="A142" s="18"/>
      <c r="B142" s="18"/>
      <c r="C142" s="12"/>
      <c r="D142" s="18"/>
      <c r="E142" s="18"/>
      <c r="F142" s="18"/>
      <c r="G142" s="18"/>
      <c r="H142" s="18"/>
      <c r="I142" s="18"/>
      <c r="J142" s="18"/>
      <c r="K142" s="18"/>
    </row>
    <row r="143" customFormat="false" ht="15" hidden="false" customHeight="false" outlineLevel="0" collapsed="false">
      <c r="A143" s="18"/>
      <c r="B143" s="18"/>
      <c r="C143" s="12"/>
      <c r="D143" s="18"/>
      <c r="E143" s="18"/>
      <c r="F143" s="18"/>
      <c r="G143" s="18"/>
      <c r="H143" s="18"/>
      <c r="I143" s="18"/>
      <c r="J143" s="18"/>
      <c r="K143" s="18"/>
    </row>
    <row r="144" customFormat="false" ht="15" hidden="false" customHeight="false" outlineLevel="0" collapsed="false">
      <c r="A144" s="18"/>
      <c r="B144" s="18"/>
      <c r="C144" s="12"/>
      <c r="D144" s="18"/>
      <c r="E144" s="18"/>
      <c r="F144" s="18"/>
      <c r="G144" s="18"/>
      <c r="H144" s="18"/>
      <c r="I144" s="18"/>
      <c r="J144" s="18"/>
      <c r="K144" s="18"/>
    </row>
    <row r="145" customFormat="false" ht="15" hidden="false" customHeight="false" outlineLevel="0" collapsed="false">
      <c r="A145" s="18"/>
      <c r="B145" s="18"/>
      <c r="C145" s="12"/>
      <c r="D145" s="18"/>
      <c r="E145" s="18"/>
      <c r="F145" s="18"/>
      <c r="G145" s="18"/>
      <c r="H145" s="18"/>
      <c r="I145" s="18"/>
      <c r="J145" s="18"/>
      <c r="K145" s="18"/>
    </row>
    <row r="146" customFormat="false" ht="15" hidden="false" customHeight="false" outlineLevel="0" collapsed="false">
      <c r="A146" s="18"/>
      <c r="B146" s="18"/>
      <c r="C146" s="12"/>
      <c r="D146" s="18"/>
      <c r="E146" s="18"/>
      <c r="F146" s="18"/>
      <c r="G146" s="18"/>
      <c r="H146" s="18"/>
      <c r="I146" s="18"/>
      <c r="J146" s="18"/>
      <c r="K146" s="18"/>
    </row>
    <row r="147" customFormat="false" ht="15" hidden="false" customHeight="false" outlineLevel="0" collapsed="false">
      <c r="A147" s="18"/>
      <c r="B147" s="18"/>
      <c r="C147" s="12"/>
      <c r="D147" s="18"/>
      <c r="E147" s="18"/>
      <c r="F147" s="18"/>
      <c r="G147" s="18"/>
      <c r="H147" s="18"/>
      <c r="I147" s="18"/>
      <c r="J147" s="18"/>
      <c r="K147" s="18"/>
    </row>
    <row r="148" customFormat="false" ht="15" hidden="false" customHeight="false" outlineLevel="0" collapsed="false">
      <c r="A148" s="18"/>
      <c r="B148" s="18"/>
      <c r="C148" s="12"/>
      <c r="D148" s="18"/>
      <c r="E148" s="18"/>
      <c r="F148" s="18"/>
      <c r="G148" s="18"/>
      <c r="H148" s="18"/>
      <c r="I148" s="18"/>
      <c r="J148" s="18"/>
      <c r="K148" s="18"/>
    </row>
    <row r="149" customFormat="false" ht="15" hidden="false" customHeight="false" outlineLevel="0" collapsed="false">
      <c r="A149" s="18"/>
      <c r="B149" s="18"/>
      <c r="C149" s="12"/>
      <c r="D149" s="18"/>
      <c r="E149" s="18"/>
      <c r="F149" s="18"/>
      <c r="G149" s="18"/>
      <c r="H149" s="18"/>
      <c r="I149" s="18"/>
      <c r="J149" s="18"/>
      <c r="K149" s="18"/>
    </row>
    <row r="150" customFormat="false" ht="15" hidden="false" customHeight="false" outlineLevel="0" collapsed="false">
      <c r="A150" s="18"/>
      <c r="B150" s="18"/>
      <c r="C150" s="12"/>
      <c r="D150" s="18"/>
      <c r="E150" s="18"/>
      <c r="F150" s="18"/>
      <c r="G150" s="18"/>
      <c r="H150" s="18"/>
      <c r="I150" s="18"/>
      <c r="J150" s="18"/>
      <c r="K150" s="18"/>
    </row>
    <row r="151" customFormat="false" ht="15" hidden="false" customHeight="false" outlineLevel="0" collapsed="false">
      <c r="A151" s="18"/>
      <c r="B151" s="18"/>
      <c r="C151" s="12"/>
      <c r="D151" s="18"/>
      <c r="E151" s="18"/>
      <c r="F151" s="18"/>
      <c r="G151" s="18"/>
      <c r="H151" s="18"/>
      <c r="I151" s="18"/>
      <c r="J151" s="18"/>
      <c r="K151" s="18"/>
    </row>
    <row r="152" customFormat="false" ht="15" hidden="false" customHeight="false" outlineLevel="0" collapsed="false">
      <c r="A152" s="18"/>
      <c r="B152" s="18"/>
      <c r="C152" s="12"/>
      <c r="D152" s="18"/>
      <c r="E152" s="18"/>
      <c r="F152" s="18"/>
      <c r="G152" s="18"/>
      <c r="H152" s="18"/>
      <c r="I152" s="18"/>
      <c r="J152" s="18"/>
      <c r="K152" s="18"/>
    </row>
    <row r="153" customFormat="false" ht="15" hidden="false" customHeight="false" outlineLevel="0" collapsed="false">
      <c r="A153" s="18"/>
      <c r="B153" s="18"/>
      <c r="C153" s="12"/>
      <c r="D153" s="18"/>
      <c r="E153" s="18"/>
      <c r="F153" s="18"/>
      <c r="G153" s="18"/>
      <c r="H153" s="18"/>
      <c r="I153" s="18"/>
      <c r="J153" s="18"/>
      <c r="K153" s="18"/>
    </row>
    <row r="154" customFormat="false" ht="15" hidden="false" customHeight="false" outlineLevel="0" collapsed="false">
      <c r="A154" s="18"/>
      <c r="B154" s="18"/>
      <c r="C154" s="12"/>
      <c r="D154" s="18"/>
      <c r="E154" s="18"/>
      <c r="F154" s="18"/>
      <c r="G154" s="18"/>
      <c r="H154" s="18"/>
      <c r="I154" s="18"/>
      <c r="J154" s="18"/>
      <c r="K154" s="18"/>
    </row>
    <row r="155" customFormat="false" ht="15" hidden="false" customHeight="false" outlineLevel="0" collapsed="false">
      <c r="A155" s="18"/>
      <c r="B155" s="18"/>
      <c r="C155" s="12"/>
      <c r="D155" s="18"/>
      <c r="E155" s="18"/>
      <c r="F155" s="18"/>
      <c r="G155" s="18"/>
      <c r="H155" s="18"/>
      <c r="I155" s="18"/>
      <c r="J155" s="18"/>
      <c r="K155" s="18"/>
    </row>
    <row r="156" customFormat="false" ht="15" hidden="false" customHeight="false" outlineLevel="0" collapsed="false">
      <c r="A156" s="18"/>
      <c r="B156" s="18"/>
      <c r="C156" s="12"/>
      <c r="D156" s="18"/>
      <c r="E156" s="18"/>
      <c r="F156" s="18"/>
      <c r="G156" s="18"/>
      <c r="H156" s="18"/>
      <c r="I156" s="18"/>
      <c r="J156" s="18"/>
      <c r="K156" s="18"/>
    </row>
    <row r="157" customFormat="false" ht="15" hidden="false" customHeight="false" outlineLevel="0" collapsed="false">
      <c r="A157" s="18"/>
      <c r="B157" s="18"/>
      <c r="C157" s="12"/>
      <c r="D157" s="18"/>
      <c r="E157" s="18"/>
      <c r="F157" s="18"/>
      <c r="G157" s="18"/>
      <c r="H157" s="18"/>
      <c r="I157" s="18"/>
      <c r="J157" s="18"/>
      <c r="K157" s="18"/>
    </row>
    <row r="158" customFormat="false" ht="15" hidden="false" customHeight="false" outlineLevel="0" collapsed="false">
      <c r="A158" s="18"/>
      <c r="B158" s="18"/>
      <c r="C158" s="12"/>
      <c r="D158" s="18"/>
      <c r="E158" s="18"/>
      <c r="F158" s="18"/>
      <c r="G158" s="18"/>
      <c r="H158" s="18"/>
      <c r="I158" s="18"/>
      <c r="J158" s="18"/>
      <c r="K158" s="18"/>
    </row>
    <row r="159" customFormat="false" ht="15" hidden="false" customHeight="false" outlineLevel="0" collapsed="false">
      <c r="A159" s="18"/>
      <c r="B159" s="18"/>
      <c r="C159" s="12"/>
      <c r="D159" s="18"/>
      <c r="E159" s="18"/>
      <c r="F159" s="18"/>
      <c r="G159" s="18"/>
      <c r="H159" s="18"/>
      <c r="I159" s="18"/>
      <c r="J159" s="18"/>
      <c r="K159" s="18"/>
    </row>
    <row r="160" customFormat="false" ht="15" hidden="false" customHeight="false" outlineLevel="0" collapsed="false">
      <c r="A160" s="18"/>
      <c r="B160" s="18"/>
      <c r="C160" s="12"/>
      <c r="D160" s="18"/>
      <c r="E160" s="18"/>
      <c r="F160" s="18"/>
      <c r="G160" s="18"/>
      <c r="H160" s="18"/>
      <c r="I160" s="18"/>
      <c r="J160" s="18"/>
      <c r="K160" s="18"/>
    </row>
    <row r="161" customFormat="false" ht="15" hidden="false" customHeight="false" outlineLevel="0" collapsed="false">
      <c r="A161" s="18"/>
      <c r="B161" s="18"/>
      <c r="C161" s="12"/>
      <c r="D161" s="18"/>
      <c r="E161" s="18"/>
      <c r="F161" s="18"/>
      <c r="G161" s="18"/>
      <c r="H161" s="18"/>
      <c r="I161" s="18"/>
      <c r="J161" s="18"/>
      <c r="K161" s="18"/>
    </row>
    <row r="162" customFormat="false" ht="15" hidden="false" customHeight="false" outlineLevel="0" collapsed="false">
      <c r="A162" s="18"/>
      <c r="B162" s="18"/>
      <c r="C162" s="12"/>
      <c r="D162" s="18"/>
      <c r="E162" s="18"/>
      <c r="F162" s="18"/>
      <c r="G162" s="18"/>
      <c r="H162" s="18"/>
      <c r="I162" s="18"/>
      <c r="J162" s="18"/>
      <c r="K162" s="18"/>
    </row>
    <row r="163" customFormat="false" ht="15" hidden="false" customHeight="false" outlineLevel="0" collapsed="false">
      <c r="A163" s="18"/>
      <c r="B163" s="18"/>
      <c r="C163" s="12"/>
      <c r="D163" s="18"/>
      <c r="E163" s="18"/>
      <c r="F163" s="18"/>
      <c r="G163" s="18"/>
      <c r="H163" s="18"/>
      <c r="I163" s="18"/>
      <c r="J163" s="18"/>
      <c r="K163" s="18"/>
    </row>
    <row r="164" customFormat="false" ht="15" hidden="false" customHeight="false" outlineLevel="0" collapsed="false">
      <c r="A164" s="18"/>
      <c r="B164" s="18"/>
      <c r="C164" s="12"/>
      <c r="D164" s="18"/>
      <c r="E164" s="18"/>
      <c r="F164" s="18"/>
      <c r="G164" s="18"/>
      <c r="H164" s="18"/>
      <c r="I164" s="18"/>
      <c r="J164" s="18"/>
      <c r="K164" s="18"/>
    </row>
    <row r="165" customFormat="false" ht="15" hidden="false" customHeight="false" outlineLevel="0" collapsed="false">
      <c r="A165" s="18"/>
      <c r="B165" s="18"/>
      <c r="C165" s="12"/>
      <c r="D165" s="18"/>
      <c r="E165" s="18"/>
      <c r="F165" s="18"/>
      <c r="G165" s="18"/>
      <c r="H165" s="18"/>
      <c r="I165" s="18"/>
      <c r="J165" s="18"/>
      <c r="K165" s="18"/>
    </row>
    <row r="166" customFormat="false" ht="15" hidden="false" customHeight="false" outlineLevel="0" collapsed="false">
      <c r="A166" s="18"/>
      <c r="B166" s="18"/>
      <c r="C166" s="12"/>
      <c r="D166" s="18"/>
      <c r="E166" s="18"/>
      <c r="F166" s="18"/>
      <c r="G166" s="18"/>
      <c r="H166" s="18"/>
      <c r="I166" s="18"/>
      <c r="J166" s="18"/>
      <c r="K166" s="18"/>
    </row>
    <row r="167" customFormat="false" ht="15" hidden="false" customHeight="false" outlineLevel="0" collapsed="false">
      <c r="A167" s="18"/>
      <c r="B167" s="18"/>
      <c r="C167" s="12"/>
      <c r="D167" s="18"/>
      <c r="E167" s="18"/>
      <c r="F167" s="18"/>
      <c r="G167" s="18"/>
      <c r="H167" s="18"/>
      <c r="I167" s="18"/>
      <c r="J167" s="18"/>
      <c r="K167" s="18"/>
    </row>
    <row r="168" customFormat="false" ht="15" hidden="false" customHeight="false" outlineLevel="0" collapsed="false">
      <c r="A168" s="18"/>
      <c r="B168" s="18"/>
      <c r="C168" s="12"/>
      <c r="D168" s="18"/>
      <c r="E168" s="18"/>
      <c r="F168" s="18"/>
      <c r="G168" s="18"/>
      <c r="H168" s="18"/>
      <c r="I168" s="18"/>
      <c r="J168" s="18"/>
      <c r="K168" s="18"/>
    </row>
    <row r="169" customFormat="false" ht="15" hidden="false" customHeight="false" outlineLevel="0" collapsed="false">
      <c r="A169" s="18"/>
      <c r="B169" s="18"/>
      <c r="C169" s="12"/>
      <c r="D169" s="18"/>
      <c r="E169" s="18"/>
      <c r="F169" s="18"/>
      <c r="G169" s="18"/>
      <c r="H169" s="18"/>
      <c r="I169" s="18"/>
      <c r="J169" s="18"/>
      <c r="K169" s="18"/>
    </row>
    <row r="170" customFormat="false" ht="15" hidden="false" customHeight="false" outlineLevel="0" collapsed="false">
      <c r="A170" s="18"/>
      <c r="B170" s="18"/>
      <c r="C170" s="12"/>
      <c r="D170" s="18"/>
      <c r="E170" s="18"/>
      <c r="F170" s="18"/>
      <c r="G170" s="18"/>
      <c r="H170" s="18"/>
      <c r="I170" s="18"/>
      <c r="J170" s="18"/>
      <c r="K170" s="18"/>
    </row>
    <row r="171" customFormat="false" ht="15" hidden="false" customHeight="false" outlineLevel="0" collapsed="false">
      <c r="A171" s="18"/>
      <c r="B171" s="18"/>
      <c r="C171" s="12"/>
      <c r="D171" s="18"/>
      <c r="E171" s="18"/>
      <c r="F171" s="18"/>
      <c r="G171" s="18"/>
      <c r="H171" s="18"/>
      <c r="I171" s="18"/>
      <c r="J171" s="18"/>
      <c r="K171" s="18"/>
    </row>
    <row r="172" customFormat="false" ht="15" hidden="false" customHeight="false" outlineLevel="0" collapsed="false">
      <c r="A172" s="18"/>
      <c r="B172" s="18"/>
      <c r="C172" s="12"/>
      <c r="D172" s="18"/>
      <c r="E172" s="18"/>
      <c r="F172" s="18"/>
      <c r="G172" s="18"/>
      <c r="H172" s="18"/>
      <c r="I172" s="18"/>
      <c r="J172" s="18"/>
      <c r="K172" s="18"/>
    </row>
    <row r="173" customFormat="false" ht="15" hidden="false" customHeight="false" outlineLevel="0" collapsed="false">
      <c r="A173" s="18"/>
      <c r="B173" s="18"/>
      <c r="C173" s="12"/>
      <c r="D173" s="18"/>
      <c r="E173" s="18"/>
      <c r="F173" s="18"/>
      <c r="G173" s="18"/>
      <c r="H173" s="18"/>
      <c r="I173" s="18"/>
      <c r="J173" s="18"/>
      <c r="K173" s="18"/>
    </row>
    <row r="174" customFormat="false" ht="15" hidden="false" customHeight="false" outlineLevel="0" collapsed="false">
      <c r="A174" s="18"/>
      <c r="B174" s="18"/>
      <c r="C174" s="12"/>
      <c r="D174" s="18"/>
      <c r="E174" s="18"/>
      <c r="F174" s="18"/>
      <c r="G174" s="18"/>
      <c r="H174" s="18"/>
      <c r="I174" s="18"/>
      <c r="J174" s="18"/>
      <c r="K174" s="18"/>
    </row>
    <row r="175" customFormat="false" ht="15" hidden="false" customHeight="false" outlineLevel="0" collapsed="false">
      <c r="A175" s="18"/>
      <c r="B175" s="18"/>
      <c r="C175" s="12"/>
      <c r="D175" s="18"/>
      <c r="E175" s="18"/>
      <c r="F175" s="18"/>
      <c r="G175" s="18"/>
      <c r="H175" s="18"/>
      <c r="I175" s="18"/>
      <c r="J175" s="18"/>
      <c r="K175" s="18"/>
    </row>
    <row r="176" customFormat="false" ht="15" hidden="false" customHeight="false" outlineLevel="0" collapsed="false">
      <c r="A176" s="18"/>
      <c r="B176" s="18"/>
      <c r="C176" s="12"/>
      <c r="D176" s="18"/>
      <c r="E176" s="18"/>
      <c r="F176" s="18"/>
      <c r="G176" s="18"/>
      <c r="H176" s="18"/>
      <c r="I176" s="18"/>
      <c r="J176" s="18"/>
      <c r="K176" s="18"/>
    </row>
    <row r="177" customFormat="false" ht="15" hidden="false" customHeight="false" outlineLevel="0" collapsed="false">
      <c r="A177" s="18"/>
      <c r="B177" s="18"/>
      <c r="C177" s="12"/>
      <c r="D177" s="18"/>
      <c r="E177" s="18"/>
      <c r="F177" s="18"/>
      <c r="G177" s="18"/>
      <c r="H177" s="18"/>
      <c r="I177" s="18"/>
      <c r="J177" s="18"/>
      <c r="K177" s="18"/>
    </row>
    <row r="178" customFormat="false" ht="15" hidden="false" customHeight="false" outlineLevel="0" collapsed="false">
      <c r="A178" s="18"/>
      <c r="B178" s="18"/>
      <c r="C178" s="12"/>
      <c r="D178" s="18"/>
      <c r="E178" s="18"/>
      <c r="F178" s="18"/>
      <c r="G178" s="18"/>
      <c r="H178" s="18"/>
      <c r="I178" s="18"/>
      <c r="J178" s="18"/>
      <c r="K178" s="18"/>
    </row>
    <row r="179" customFormat="false" ht="15" hidden="false" customHeight="false" outlineLevel="0" collapsed="false">
      <c r="A179" s="18"/>
      <c r="B179" s="18"/>
      <c r="C179" s="12"/>
      <c r="D179" s="18"/>
      <c r="E179" s="18"/>
      <c r="F179" s="18"/>
      <c r="G179" s="18"/>
      <c r="H179" s="18"/>
      <c r="I179" s="18"/>
      <c r="J179" s="18"/>
      <c r="K179" s="18"/>
    </row>
    <row r="180" customFormat="false" ht="15" hidden="false" customHeight="false" outlineLevel="0" collapsed="false">
      <c r="A180" s="18"/>
      <c r="B180" s="18"/>
      <c r="C180" s="12"/>
      <c r="D180" s="18"/>
      <c r="E180" s="18"/>
      <c r="F180" s="18"/>
      <c r="G180" s="18"/>
      <c r="H180" s="18"/>
      <c r="I180" s="18"/>
      <c r="J180" s="18"/>
      <c r="K180" s="18"/>
    </row>
    <row r="181" customFormat="false" ht="15" hidden="false" customHeight="false" outlineLevel="0" collapsed="false">
      <c r="A181" s="18"/>
      <c r="B181" s="18"/>
      <c r="C181" s="12"/>
      <c r="D181" s="18"/>
      <c r="E181" s="18"/>
      <c r="F181" s="18"/>
      <c r="G181" s="18"/>
      <c r="H181" s="18"/>
      <c r="I181" s="18"/>
      <c r="J181" s="18"/>
      <c r="K181" s="18"/>
    </row>
    <row r="182" customFormat="false" ht="15" hidden="false" customHeight="false" outlineLevel="0" collapsed="false">
      <c r="A182" s="18"/>
      <c r="B182" s="18"/>
      <c r="C182" s="12"/>
      <c r="D182" s="18"/>
      <c r="E182" s="18"/>
      <c r="F182" s="18"/>
      <c r="G182" s="18"/>
      <c r="H182" s="18"/>
      <c r="I182" s="18"/>
      <c r="J182" s="18"/>
      <c r="K182" s="18"/>
    </row>
    <row r="183" customFormat="false" ht="15" hidden="false" customHeight="false" outlineLevel="0" collapsed="false">
      <c r="A183" s="18"/>
      <c r="B183" s="18"/>
      <c r="C183" s="12"/>
      <c r="D183" s="18"/>
      <c r="E183" s="18"/>
      <c r="F183" s="18"/>
      <c r="G183" s="18"/>
      <c r="H183" s="18"/>
      <c r="I183" s="18"/>
      <c r="J183" s="18"/>
      <c r="K183" s="18"/>
    </row>
    <row r="184" customFormat="false" ht="15" hidden="false" customHeight="false" outlineLevel="0" collapsed="false">
      <c r="A184" s="18"/>
      <c r="B184" s="18"/>
      <c r="C184" s="12"/>
      <c r="D184" s="18"/>
      <c r="E184" s="18"/>
      <c r="F184" s="18"/>
      <c r="G184" s="18"/>
      <c r="H184" s="18"/>
      <c r="I184" s="18"/>
      <c r="J184" s="18"/>
      <c r="K184" s="18"/>
    </row>
    <row r="185" customFormat="false" ht="15" hidden="false" customHeight="false" outlineLevel="0" collapsed="false">
      <c r="A185" s="18"/>
      <c r="B185" s="18"/>
      <c r="C185" s="12"/>
      <c r="D185" s="18"/>
      <c r="E185" s="18"/>
      <c r="F185" s="18"/>
      <c r="G185" s="18"/>
      <c r="H185" s="18"/>
      <c r="I185" s="18"/>
      <c r="J185" s="18"/>
      <c r="K185" s="18"/>
    </row>
    <row r="186" customFormat="false" ht="15" hidden="false" customHeight="false" outlineLevel="0" collapsed="false">
      <c r="A186" s="18"/>
      <c r="B186" s="18"/>
      <c r="C186" s="12"/>
      <c r="D186" s="18"/>
      <c r="E186" s="18"/>
      <c r="F186" s="18"/>
      <c r="G186" s="18"/>
      <c r="H186" s="18"/>
      <c r="I186" s="18"/>
      <c r="J186" s="18"/>
      <c r="K186" s="18"/>
    </row>
    <row r="187" customFormat="false" ht="15" hidden="false" customHeight="false" outlineLevel="0" collapsed="false">
      <c r="A187" s="18"/>
      <c r="B187" s="18"/>
      <c r="C187" s="12"/>
      <c r="D187" s="18"/>
      <c r="E187" s="18"/>
      <c r="F187" s="18"/>
      <c r="G187" s="18"/>
      <c r="H187" s="18"/>
      <c r="I187" s="18"/>
      <c r="J187" s="18"/>
      <c r="K187" s="18"/>
    </row>
    <row r="188" customFormat="false" ht="15" hidden="false" customHeight="false" outlineLevel="0" collapsed="false">
      <c r="A188" s="18"/>
      <c r="B188" s="18"/>
      <c r="C188" s="12"/>
      <c r="D188" s="18"/>
      <c r="E188" s="18"/>
      <c r="F188" s="18"/>
      <c r="G188" s="18"/>
      <c r="H188" s="18"/>
      <c r="I188" s="18"/>
      <c r="J188" s="18"/>
      <c r="K188" s="18"/>
    </row>
    <row r="189" customFormat="false" ht="15" hidden="false" customHeight="false" outlineLevel="0" collapsed="false">
      <c r="A189" s="18"/>
      <c r="B189" s="18"/>
      <c r="C189" s="12"/>
      <c r="D189" s="18"/>
      <c r="E189" s="18"/>
      <c r="F189" s="18"/>
      <c r="G189" s="18"/>
      <c r="H189" s="18"/>
      <c r="I189" s="18"/>
      <c r="J189" s="18"/>
      <c r="K189" s="18"/>
    </row>
    <row r="190" customFormat="false" ht="15" hidden="false" customHeight="false" outlineLevel="0" collapsed="false">
      <c r="A190" s="18"/>
      <c r="B190" s="18"/>
      <c r="C190" s="12"/>
      <c r="D190" s="18"/>
      <c r="E190" s="18"/>
      <c r="F190" s="18"/>
      <c r="G190" s="18"/>
      <c r="H190" s="18"/>
      <c r="I190" s="18"/>
      <c r="J190" s="18"/>
      <c r="K190" s="18"/>
    </row>
    <row r="191" customFormat="false" ht="15" hidden="false" customHeight="false" outlineLevel="0" collapsed="false">
      <c r="A191" s="18"/>
      <c r="B191" s="18"/>
      <c r="C191" s="12"/>
      <c r="D191" s="18"/>
      <c r="E191" s="18"/>
      <c r="F191" s="18"/>
      <c r="G191" s="18"/>
      <c r="H191" s="18"/>
      <c r="I191" s="18"/>
      <c r="J191" s="18"/>
      <c r="K191" s="18"/>
    </row>
    <row r="192" customFormat="false" ht="15" hidden="false" customHeight="false" outlineLevel="0" collapsed="false">
      <c r="A192" s="18"/>
      <c r="B192" s="18"/>
      <c r="C192" s="12"/>
      <c r="D192" s="18"/>
      <c r="E192" s="18"/>
      <c r="F192" s="18"/>
      <c r="G192" s="18"/>
      <c r="H192" s="18"/>
      <c r="I192" s="18"/>
      <c r="J192" s="18"/>
      <c r="K192" s="18"/>
    </row>
    <row r="193" customFormat="false" ht="15" hidden="false" customHeight="false" outlineLevel="0" collapsed="false">
      <c r="A193" s="18"/>
      <c r="B193" s="18"/>
      <c r="C193" s="12"/>
      <c r="D193" s="18"/>
      <c r="E193" s="18"/>
      <c r="F193" s="18"/>
      <c r="G193" s="18"/>
      <c r="H193" s="18"/>
      <c r="I193" s="18"/>
      <c r="J193" s="18"/>
      <c r="K193" s="18"/>
    </row>
    <row r="194" customFormat="false" ht="15" hidden="false" customHeight="false" outlineLevel="0" collapsed="false">
      <c r="A194" s="18"/>
      <c r="B194" s="18"/>
      <c r="C194" s="12"/>
      <c r="D194" s="18"/>
      <c r="E194" s="18"/>
      <c r="F194" s="18"/>
      <c r="G194" s="18"/>
      <c r="H194" s="18"/>
      <c r="I194" s="18"/>
      <c r="J194" s="18"/>
      <c r="K194" s="18"/>
    </row>
    <row r="195" customFormat="false" ht="15" hidden="false" customHeight="false" outlineLevel="0" collapsed="false">
      <c r="A195" s="18"/>
      <c r="B195" s="18"/>
      <c r="C195" s="12"/>
      <c r="D195" s="18"/>
      <c r="E195" s="18"/>
      <c r="F195" s="18"/>
      <c r="G195" s="18"/>
      <c r="H195" s="18"/>
      <c r="I195" s="18"/>
      <c r="J195" s="18"/>
      <c r="K195" s="18"/>
    </row>
    <row r="196" customFormat="false" ht="15" hidden="false" customHeight="false" outlineLevel="0" collapsed="false">
      <c r="A196" s="18"/>
      <c r="B196" s="18"/>
      <c r="C196" s="12"/>
      <c r="D196" s="18"/>
      <c r="E196" s="18"/>
      <c r="F196" s="18"/>
      <c r="G196" s="18"/>
      <c r="H196" s="18"/>
      <c r="I196" s="18"/>
      <c r="J196" s="18"/>
      <c r="K196" s="18"/>
    </row>
    <row r="197" customFormat="false" ht="15" hidden="false" customHeight="false" outlineLevel="0" collapsed="false">
      <c r="A197" s="18"/>
      <c r="B197" s="18"/>
      <c r="C197" s="12"/>
      <c r="D197" s="18"/>
      <c r="E197" s="18"/>
      <c r="F197" s="18"/>
      <c r="G197" s="18"/>
      <c r="H197" s="18"/>
      <c r="I197" s="18"/>
      <c r="J197" s="18"/>
      <c r="K197" s="18"/>
    </row>
    <row r="198" customFormat="false" ht="15" hidden="false" customHeight="false" outlineLevel="0" collapsed="false">
      <c r="A198" s="18"/>
      <c r="B198" s="18"/>
      <c r="C198" s="12"/>
      <c r="D198" s="18"/>
      <c r="E198" s="18"/>
      <c r="F198" s="18"/>
      <c r="G198" s="18"/>
      <c r="H198" s="18"/>
      <c r="I198" s="18"/>
      <c r="J198" s="18"/>
      <c r="K198" s="18"/>
    </row>
    <row r="199" customFormat="false" ht="15" hidden="false" customHeight="false" outlineLevel="0" collapsed="false">
      <c r="A199" s="18"/>
      <c r="B199" s="18"/>
      <c r="C199" s="12"/>
      <c r="D199" s="18"/>
      <c r="E199" s="18"/>
      <c r="F199" s="18"/>
      <c r="G199" s="18"/>
      <c r="H199" s="18"/>
      <c r="I199" s="18"/>
      <c r="J199" s="18"/>
      <c r="K199" s="18"/>
    </row>
    <row r="200" customFormat="false" ht="15" hidden="false" customHeight="false" outlineLevel="0" collapsed="false">
      <c r="A200" s="18"/>
      <c r="B200" s="18"/>
      <c r="C200" s="12"/>
      <c r="D200" s="18"/>
      <c r="E200" s="18"/>
      <c r="F200" s="18"/>
      <c r="G200" s="18"/>
      <c r="H200" s="18"/>
      <c r="I200" s="18"/>
      <c r="J200" s="18"/>
      <c r="K200" s="18"/>
    </row>
  </sheetData>
  <dataValidations count="1">
    <dataValidation allowBlank="true" errorStyle="stop" operator="between" showDropDown="false" showErrorMessage="false" showInputMessage="false" sqref="C4:C200" type="list">
      <formula1>"quiet,cafe"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3" topLeftCell="A3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4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21" t="s">
        <v>405</v>
      </c>
    </row>
    <row r="2" customFormat="false" ht="15" hidden="false" customHeight="false" outlineLevel="0" collapsed="false">
      <c r="A2" s="2" t="s">
        <v>406</v>
      </c>
    </row>
    <row r="4" customFormat="false" ht="17.15" hidden="false" customHeight="false" outlineLevel="0" collapsed="false">
      <c r="A4" s="22" t="s">
        <v>407</v>
      </c>
    </row>
    <row r="5" customFormat="false" ht="30" hidden="false" customHeight="true" outlineLevel="0" collapsed="false">
      <c r="A5" s="8" t="s">
        <v>408</v>
      </c>
      <c r="B5" s="8" t="s">
        <v>409</v>
      </c>
      <c r="C5" s="8" t="s">
        <v>410</v>
      </c>
    </row>
    <row r="6" customFormat="false" ht="15" hidden="false" customHeight="false" outlineLevel="0" collapsed="false">
      <c r="A6" s="14" t="s">
        <v>411</v>
      </c>
      <c r="B6" s="15" t="n">
        <f aca="false">A_SUS!B43</f>
        <v>72.5</v>
      </c>
      <c r="C6" s="15" t="s">
        <v>412</v>
      </c>
    </row>
    <row r="7" customFormat="false" ht="15" hidden="false" customHeight="false" outlineLevel="0" collapsed="false">
      <c r="A7" s="14" t="s">
        <v>413</v>
      </c>
      <c r="B7" s="15" t="str">
        <f aca="false">IF(A_SUS!B46="","",TEXT(A_SUS!B46,"0.0")&amp;" – "&amp;TEXT(A_SUS!B47,"0.0"))</f>
        <v/>
      </c>
      <c r="C7" s="14" t="s">
        <v>414</v>
      </c>
    </row>
    <row r="8" customFormat="false" ht="15" hidden="false" customHeight="false" outlineLevel="0" collapsed="false">
      <c r="A8" s="15" t="s">
        <v>415</v>
      </c>
      <c r="B8" s="15" t="n">
        <f aca="false">A_SUS!B42</f>
        <v>1</v>
      </c>
    </row>
    <row r="9" customFormat="false" ht="15" hidden="false" customHeight="false" outlineLevel="0" collapsed="false">
      <c r="A9" s="14" t="s">
        <v>416</v>
      </c>
      <c r="B9" s="15" t="str">
        <f aca="false">IFERROR(AVERAGEIF(A_任務記錄!B:B,"T0",A_任務記錄!I:I),"")</f>
        <v/>
      </c>
      <c r="C9" s="14" t="s">
        <v>417</v>
      </c>
    </row>
    <row r="10" customFormat="false" ht="15" hidden="false" customHeight="false" outlineLevel="0" collapsed="false">
      <c r="A10" s="14" t="s">
        <v>418</v>
      </c>
      <c r="B10" s="15" t="str">
        <f aca="false">IFERROR(AVERAGEIF(A_任務記錄!B:B,"T1",A_任務記錄!I:I),"")</f>
        <v/>
      </c>
      <c r="C10" s="14" t="s">
        <v>417</v>
      </c>
    </row>
    <row r="11" customFormat="false" ht="15" hidden="false" customHeight="false" outlineLevel="0" collapsed="false">
      <c r="A11" s="14" t="s">
        <v>419</v>
      </c>
      <c r="B11" s="15" t="str">
        <f aca="false">IFERROR(AVERAGEIF(A_任務記錄!B:B,"T2",A_任務記錄!I:I),"")</f>
        <v/>
      </c>
      <c r="C11" s="14" t="s">
        <v>417</v>
      </c>
    </row>
    <row r="12" customFormat="false" ht="15" hidden="false" customHeight="false" outlineLevel="0" collapsed="false">
      <c r="A12" s="14" t="s">
        <v>420</v>
      </c>
      <c r="B12" s="15" t="str">
        <f aca="false">IFERROR(AVERAGEIF(A_任務記錄!B:B,"T3",A_任務記錄!I:I),"")</f>
        <v/>
      </c>
      <c r="C12" s="14" t="s">
        <v>417</v>
      </c>
    </row>
    <row r="13" customFormat="false" ht="15" hidden="false" customHeight="false" outlineLevel="0" collapsed="false">
      <c r="A13" s="14" t="s">
        <v>421</v>
      </c>
      <c r="B13" s="15" t="n">
        <f aca="false">IFERROR(AVERAGEIF(A_任務記錄!B:B,"T4",A_任務記錄!I:I),"")</f>
        <v>0.5</v>
      </c>
      <c r="C13" s="14" t="s">
        <v>417</v>
      </c>
    </row>
    <row r="14" customFormat="false" ht="15" hidden="false" customHeight="false" outlineLevel="0" collapsed="false">
      <c r="A14" s="14" t="s">
        <v>422</v>
      </c>
      <c r="B14" s="15" t="str">
        <f aca="false">IFERROR(AVERAGEIF(A_任務記錄!B:B,"T5",A_任務記錄!I:I),"")</f>
        <v/>
      </c>
      <c r="C14" s="14" t="s">
        <v>417</v>
      </c>
    </row>
    <row r="15" customFormat="false" ht="15" hidden="false" customHeight="false" outlineLevel="0" collapsed="false">
      <c r="A15" s="14" t="s">
        <v>423</v>
      </c>
      <c r="B15" s="15" t="str">
        <f aca="false">IFERROR(AVERAGEIF(A_任務記錄!B:B,"T7",A_任務記錄!I:I),"")</f>
        <v/>
      </c>
      <c r="C15" s="14" t="s">
        <v>417</v>
      </c>
    </row>
    <row r="16" customFormat="false" ht="15" hidden="false" customHeight="false" outlineLevel="0" collapsed="false">
      <c r="A16" s="14" t="s">
        <v>424</v>
      </c>
      <c r="B16" s="15" t="str">
        <f aca="false">IFERROR(AVERAGEIF(A_任務記錄!B:B,"T1",A_任務記錄!F:F),"")</f>
        <v/>
      </c>
      <c r="C16" s="15" t="s">
        <v>425</v>
      </c>
    </row>
    <row r="17" customFormat="false" ht="15" hidden="false" customHeight="false" outlineLevel="0" collapsed="false">
      <c r="A17" s="14" t="s">
        <v>426</v>
      </c>
      <c r="B17" s="15" t="str">
        <f aca="false">IFERROR(AVERAGEIF(A_任務記錄!B:B,"T3",A_任務記錄!F:F),"")</f>
        <v/>
      </c>
      <c r="C17" s="15" t="s">
        <v>425</v>
      </c>
    </row>
    <row r="18" customFormat="false" ht="15" hidden="false" customHeight="false" outlineLevel="0" collapsed="false">
      <c r="A18" s="14" t="s">
        <v>427</v>
      </c>
      <c r="B18" s="15" t="n">
        <f aca="false">IFERROR(AVERAGEIF(A_任務記錄!B:B,"T4",A_任務記錄!F:F),"")</f>
        <v>9</v>
      </c>
      <c r="C18" s="15" t="s">
        <v>425</v>
      </c>
    </row>
    <row r="19" customFormat="false" ht="15" hidden="false" customHeight="false" outlineLevel="0" collapsed="false">
      <c r="A19" s="14" t="s">
        <v>428</v>
      </c>
      <c r="B19" s="15" t="str">
        <f aca="false">IFERROR(AVERAGEIF(A_任務記錄!B:B,"T5",A_任務記錄!F:F),"")</f>
        <v/>
      </c>
      <c r="C19" s="15" t="s">
        <v>425</v>
      </c>
    </row>
    <row r="20" customFormat="false" ht="15" hidden="false" customHeight="false" outlineLevel="0" collapsed="false">
      <c r="A20" s="15" t="s">
        <v>429</v>
      </c>
      <c r="B20" s="15" t="n">
        <f aca="false">COUNTIF(A_觀察事件!G:G,"&gt;=3")</f>
        <v>0</v>
      </c>
    </row>
    <row r="21" customFormat="false" ht="15" hidden="false" customHeight="false" outlineLevel="0" collapsed="false">
      <c r="A21" s="14" t="s">
        <v>430</v>
      </c>
      <c r="B21" s="15" t="n">
        <f aca="false">A_量表!C41</f>
        <v>6</v>
      </c>
    </row>
    <row r="22" customFormat="false" ht="15" hidden="false" customHeight="false" outlineLevel="0" collapsed="false">
      <c r="A22" s="14" t="s">
        <v>431</v>
      </c>
      <c r="B22" s="15" t="n">
        <f aca="false">A_量表!E41</f>
        <v>6</v>
      </c>
    </row>
    <row r="24" customFormat="false" ht="17.15" hidden="false" customHeight="false" outlineLevel="0" collapsed="false">
      <c r="A24" s="22" t="s">
        <v>432</v>
      </c>
    </row>
    <row r="25" customFormat="false" ht="30" hidden="false" customHeight="true" outlineLevel="0" collapsed="false">
      <c r="A25" s="8" t="s">
        <v>408</v>
      </c>
      <c r="B25" s="8" t="s">
        <v>433</v>
      </c>
      <c r="C25" s="8" t="s">
        <v>434</v>
      </c>
    </row>
    <row r="26" customFormat="false" ht="15" hidden="false" customHeight="false" outlineLevel="0" collapsed="false">
      <c r="A26" s="15" t="s">
        <v>435</v>
      </c>
      <c r="B26" s="15" t="n">
        <f aca="false">IFERROR(SUMIFS(PartC_稽核!K:K,PartC_稽核!B:B,"A",PartC_稽核!D:D,"Y")/COUNTIFS(PartC_稽核!B:B,"A",PartC_稽核!D:D,"Y"),"")</f>
        <v>1</v>
      </c>
      <c r="C26" s="15" t="str">
        <f aca="false">IFERROR(SUMIFS(PartC_稽核!K:K,PartC_稽核!B:B,"B",PartC_稽核!D:D,"Y")/COUNTIFS(PartC_稽核!B:B,"B",PartC_稽核!D:D,"Y"),"")</f>
        <v/>
      </c>
    </row>
    <row r="27" customFormat="false" ht="15" hidden="false" customHeight="false" outlineLevel="0" collapsed="false">
      <c r="A27" s="15" t="s">
        <v>436</v>
      </c>
      <c r="B27" s="15" t="str">
        <f aca="false">IFERROR(SUMIFS(PartC_稽核!L:L,PartC_稽核!B:B,"A",PartC_稽核!D:D,"N")/COUNTIFS(PartC_稽核!B:B,"A",PartC_稽核!D:D,"N"),"")</f>
        <v/>
      </c>
      <c r="C27" s="15" t="str">
        <f aca="false">IFERROR(SUMIFS(PartC_稽核!L:L,PartC_稽核!B:B,"B",PartC_稽核!D:D,"N")/COUNTIFS(PartC_稽核!B:B,"B",PartC_稽核!D:D,"N"),"")</f>
        <v/>
      </c>
    </row>
    <row r="28" customFormat="false" ht="15" hidden="false" customHeight="false" outlineLevel="0" collapsed="false">
      <c r="A28" s="15" t="s">
        <v>437</v>
      </c>
      <c r="B28" s="15" t="n">
        <f aca="false">IFERROR(AVERAGEIFS(PartC_稽核!G:G,PartC_稽核!B:B,"A"),"")</f>
        <v>6</v>
      </c>
      <c r="C28" s="15" t="str">
        <f aca="false">IFERROR(AVERAGEIFS(PartC_稽核!G:G,PartC_稽核!B:B,"B"),"")</f>
        <v/>
      </c>
    </row>
    <row r="29" customFormat="false" ht="15" hidden="false" customHeight="false" outlineLevel="0" collapsed="false">
      <c r="A29" s="15" t="s">
        <v>438</v>
      </c>
      <c r="B29" s="15" t="n">
        <f aca="false">IFERROR(AVERAGEIFS(PartC_稽核!H:H,PartC_稽核!B:B,"A"),"")</f>
        <v>48</v>
      </c>
      <c r="C29" s="15" t="str">
        <f aca="false">IFERROR(AVERAGEIFS(PartC_稽核!H:H,PartC_稽核!B:B,"B"),"")</f>
        <v/>
      </c>
    </row>
    <row r="30" customFormat="false" ht="15" hidden="false" customHeight="false" outlineLevel="0" collapsed="false">
      <c r="A30" s="15" t="s">
        <v>439</v>
      </c>
      <c r="B30" s="15" t="n">
        <f aca="false">IFERROR(COUNTIFS(PartC_稽核!B:B,"A",PartC_稽核!I:I,"Y")/COUNTIFS(PartC_稽核!B:B,"A",PartC_稽核!F:F,"&lt;&gt;"),"")</f>
        <v>1</v>
      </c>
      <c r="C30" s="15" t="str">
        <f aca="false">IFERROR(COUNTIFS(PartC_稽核!B:B,"B",PartC_稽核!I:I,"Y")/COUNTIFS(PartC_稽核!B:B,"B",PartC_稽核!F:F,"&lt;&gt;"),"")</f>
        <v/>
      </c>
    </row>
    <row r="32" customFormat="false" ht="17.15" hidden="false" customHeight="false" outlineLevel="0" collapsed="false">
      <c r="A32" s="22" t="s">
        <v>440</v>
      </c>
    </row>
    <row r="33" customFormat="false" ht="30" hidden="false" customHeight="true" outlineLevel="0" collapsed="false">
      <c r="A33" s="8" t="s">
        <v>408</v>
      </c>
      <c r="B33" s="9" t="s">
        <v>346</v>
      </c>
      <c r="C33" s="9" t="s">
        <v>177</v>
      </c>
      <c r="D33" s="9" t="s">
        <v>351</v>
      </c>
      <c r="E33" s="9" t="s">
        <v>354</v>
      </c>
      <c r="F33" s="9" t="s">
        <v>357</v>
      </c>
      <c r="G33" s="9" t="s">
        <v>360</v>
      </c>
      <c r="H33" s="8" t="s">
        <v>410</v>
      </c>
    </row>
    <row r="34" customFormat="false" ht="15" hidden="false" customHeight="false" outlineLevel="0" collapsed="false">
      <c r="A34" s="15" t="s">
        <v>441</v>
      </c>
      <c r="B34" s="15" t="str">
        <f aca="false">IFERROR(AVERAGEIFS(B_埋點評分!G:G,B_埋點評分!D:D,"L1"),"")</f>
        <v/>
      </c>
      <c r="C34" s="15" t="n">
        <f aca="false">IFERROR(AVERAGEIFS(B_埋點評分!G:G,B_埋點評分!D:D,"L2"),"")</f>
        <v>1</v>
      </c>
      <c r="D34" s="15" t="str">
        <f aca="false">IFERROR(AVERAGEIFS(B_埋點評分!G:G,B_埋點評分!D:D,"L3"),"")</f>
        <v/>
      </c>
      <c r="E34" s="15" t="str">
        <f aca="false">IFERROR(AVERAGEIFS(B_埋點評分!G:G,B_埋點評分!D:D,"L4"),"")</f>
        <v/>
      </c>
      <c r="F34" s="15" t="str">
        <f aca="false">IFERROR(AVERAGEIFS(B_埋點評分!G:G,B_埋點評分!D:D,"C1"),"")</f>
        <v/>
      </c>
      <c r="G34" s="15" t="str">
        <f aca="false">IFERROR(AVERAGEIFS(B_埋點評分!G:G,B_埋點評分!D:D,"C2"),"")</f>
        <v/>
      </c>
      <c r="H34" s="15" t="s">
        <v>442</v>
      </c>
    </row>
    <row r="35" customFormat="false" ht="15" hidden="false" customHeight="false" outlineLevel="0" collapsed="false">
      <c r="A35" s="15" t="s">
        <v>443</v>
      </c>
      <c r="B35" s="15" t="str">
        <f aca="false">IFERROR(AVERAGEIFS(B_人工評分!L:L,B_人工評分!A:A,"L1"),"")</f>
        <v/>
      </c>
      <c r="C35" s="15" t="n">
        <f aca="false">IFERROR(AVERAGEIFS(B_人工評分!L:L,B_人工評分!A:A,"L2"),"")</f>
        <v>1</v>
      </c>
      <c r="D35" s="15" t="str">
        <f aca="false">IFERROR(AVERAGEIFS(B_人工評分!L:L,B_人工評分!A:A,"L3"),"")</f>
        <v/>
      </c>
      <c r="E35" s="15" t="str">
        <f aca="false">IFERROR(AVERAGEIFS(B_人工評分!L:L,B_人工評分!A:A,"L4"),"")</f>
        <v/>
      </c>
      <c r="F35" s="15" t="str">
        <f aca="false">IFERROR(AVERAGEIFS(B_人工評分!L:L,B_人工評分!A:A,"C1"),"")</f>
        <v/>
      </c>
      <c r="G35" s="15" t="str">
        <f aca="false">IFERROR(AVERAGEIFS(B_人工評分!L:L,B_人工評分!A:A,"C2"),"")</f>
        <v/>
      </c>
      <c r="H35" s="15" t="s">
        <v>444</v>
      </c>
    </row>
    <row r="36" customFormat="false" ht="15" hidden="false" customHeight="false" outlineLevel="0" collapsed="false">
      <c r="A36" s="15" t="s">
        <v>445</v>
      </c>
      <c r="B36" s="15" t="str">
        <f aca="false">IFERROR(AVERAGEIFS(B_人工評分!N:N,B_人工評分!A:A,"L1"),"")</f>
        <v/>
      </c>
      <c r="C36" s="15" t="n">
        <f aca="false">IFERROR(AVERAGEIFS(B_人工評分!N:N,B_人工評分!A:A,"L2"),"")</f>
        <v>2</v>
      </c>
      <c r="D36" s="15" t="str">
        <f aca="false">IFERROR(AVERAGEIFS(B_人工評分!N:N,B_人工評分!A:A,"L3"),"")</f>
        <v/>
      </c>
      <c r="E36" s="15" t="str">
        <f aca="false">IFERROR(AVERAGEIFS(B_人工評分!N:N,B_人工評分!A:A,"L4"),"")</f>
        <v/>
      </c>
      <c r="F36" s="15" t="str">
        <f aca="false">IFERROR(AVERAGEIFS(B_人工評分!N:N,B_人工評分!A:A,"C1"),"")</f>
        <v/>
      </c>
      <c r="G36" s="15" t="str">
        <f aca="false">IFERROR(AVERAGEIFS(B_人工評分!N:N,B_人工評分!A:A,"C2"),"")</f>
        <v/>
      </c>
      <c r="H36" s="15"/>
    </row>
    <row r="37" customFormat="false" ht="15" hidden="false" customHeight="false" outlineLevel="0" collapsed="false">
      <c r="A37" s="15" t="s">
        <v>446</v>
      </c>
      <c r="B37" s="15" t="str">
        <f aca="false">IFERROR(COUNTIFS(B_人工評分!A:A,"L1",B_人工評分!N:N,2)/COUNTIFS(B_人工評分!A:A,"L1",B_人工評分!N:N,"&lt;&gt;"),"")</f>
        <v/>
      </c>
      <c r="C37" s="15" t="n">
        <f aca="false">IFERROR(COUNTIFS(B_人工評分!A:A,"L2",B_人工評分!N:N,2)/COUNTIFS(B_人工評分!A:A,"L2",B_人工評分!N:N,"&lt;&gt;"),"")</f>
        <v>1</v>
      </c>
      <c r="D37" s="15" t="str">
        <f aca="false">IFERROR(COUNTIFS(B_人工評分!A:A,"L3",B_人工評分!N:N,2)/COUNTIFS(B_人工評分!A:A,"L3",B_人工評分!N:N,"&lt;&gt;"),"")</f>
        <v/>
      </c>
      <c r="E37" s="15" t="str">
        <f aca="false">IFERROR(COUNTIFS(B_人工評分!A:A,"L4",B_人工評分!N:N,2)/COUNTIFS(B_人工評分!A:A,"L4",B_人工評分!N:N,"&lt;&gt;"),"")</f>
        <v/>
      </c>
      <c r="F37" s="15" t="str">
        <f aca="false">IFERROR(COUNTIFS(B_人工評分!A:A,"C1",B_人工評分!N:N,2)/COUNTIFS(B_人工評分!A:A,"C1",B_人工評分!N:N,"&lt;&gt;"),"")</f>
        <v/>
      </c>
      <c r="G37" s="15" t="str">
        <f aca="false">IFERROR(COUNTIFS(B_人工評分!A:A,"C2",B_人工評分!N:N,2)/COUNTIFS(B_人工評分!A:A,"C2",B_人工評分!N:N,"&lt;&gt;"),"")</f>
        <v/>
      </c>
      <c r="H37" s="15" t="s">
        <v>447</v>
      </c>
    </row>
    <row r="38" customFormat="false" ht="15" hidden="false" customHeight="false" outlineLevel="0" collapsed="false">
      <c r="A38" s="15" t="s">
        <v>448</v>
      </c>
      <c r="B38" s="15" t="str">
        <f aca="false">IFERROR(AVERAGEIFS(B_人工評分!O:O,B_人工評分!A:A,"L1"),"")</f>
        <v/>
      </c>
      <c r="C38" s="15" t="n">
        <f aca="false">IFERROR(AVERAGEIFS(B_人工評分!O:O,B_人工評分!A:A,"L2"),"")</f>
        <v>0</v>
      </c>
      <c r="D38" s="15" t="str">
        <f aca="false">IFERROR(AVERAGEIFS(B_人工評分!O:O,B_人工評分!A:A,"L3"),"")</f>
        <v/>
      </c>
      <c r="E38" s="15" t="str">
        <f aca="false">IFERROR(AVERAGEIFS(B_人工評分!O:O,B_人工評分!A:A,"L4"),"")</f>
        <v/>
      </c>
      <c r="F38" s="15" t="str">
        <f aca="false">IFERROR(AVERAGEIFS(B_人工評分!O:O,B_人工評分!A:A,"C1"),"")</f>
        <v/>
      </c>
      <c r="G38" s="15" t="str">
        <f aca="false">IFERROR(AVERAGEIFS(B_人工評分!O:O,B_人工評分!A:A,"C2"),"")</f>
        <v/>
      </c>
      <c r="H38" s="15"/>
    </row>
    <row r="39" customFormat="false" ht="15" hidden="false" customHeight="false" outlineLevel="0" collapsed="false">
      <c r="A39" s="15" t="s">
        <v>449</v>
      </c>
      <c r="B39" s="15" t="str">
        <f aca="false">IFERROR(AVERAGEIFS(B_人工評分!P:P,B_人工評分!A:A,"L1"),"")</f>
        <v/>
      </c>
      <c r="C39" s="15" t="n">
        <f aca="false">IFERROR(AVERAGEIFS(B_人工評分!P:P,B_人工評分!A:A,"L2"),"")</f>
        <v>0</v>
      </c>
      <c r="D39" s="15" t="str">
        <f aca="false">IFERROR(AVERAGEIFS(B_人工評分!P:P,B_人工評分!A:A,"L3"),"")</f>
        <v/>
      </c>
      <c r="E39" s="15" t="str">
        <f aca="false">IFERROR(AVERAGEIFS(B_人工評分!P:P,B_人工評分!A:A,"L4"),"")</f>
        <v/>
      </c>
      <c r="F39" s="15" t="str">
        <f aca="false">IFERROR(AVERAGEIFS(B_人工評分!P:P,B_人工評分!A:A,"C1"),"")</f>
        <v/>
      </c>
      <c r="G39" s="15" t="str">
        <f aca="false">IFERROR(AVERAGEIFS(B_人工評分!P:P,B_人工評分!A:A,"C2"),"")</f>
        <v/>
      </c>
      <c r="H39" s="15" t="s">
        <v>450</v>
      </c>
    </row>
    <row r="40" customFormat="false" ht="15" hidden="false" customHeight="false" outlineLevel="0" collapsed="false">
      <c r="A40" s="15" t="s">
        <v>451</v>
      </c>
      <c r="B40" s="15" t="str">
        <f aca="false">IFERROR(AVERAGEIFS(B_研究方向評分!G:G,B_研究方向評分!A:A,"L1"),"")</f>
        <v/>
      </c>
      <c r="C40" s="15" t="n">
        <f aca="false">IFERROR(AVERAGEIFS(B_研究方向評分!G:G,B_研究方向評分!A:A,"L2"),"")</f>
        <v>4</v>
      </c>
      <c r="D40" s="15" t="str">
        <f aca="false">IFERROR(AVERAGEIFS(B_研究方向評分!G:G,B_研究方向評分!A:A,"L3"),"")</f>
        <v/>
      </c>
      <c r="E40" s="15" t="str">
        <f aca="false">IFERROR(AVERAGEIFS(B_研究方向評分!G:G,B_研究方向評分!A:A,"L4"),"")</f>
        <v/>
      </c>
      <c r="F40" s="15" t="str">
        <f aca="false">IFERROR(AVERAGEIFS(B_研究方向評分!G:G,B_研究方向評分!A:A,"C1"),"")</f>
        <v/>
      </c>
      <c r="G40" s="15" t="str">
        <f aca="false">IFERROR(AVERAGEIFS(B_研究方向評分!G:G,B_研究方向評分!A:A,"C2"),"")</f>
        <v/>
      </c>
      <c r="H40" s="15"/>
    </row>
    <row r="41" customFormat="false" ht="15" hidden="false" customHeight="false" outlineLevel="0" collapsed="false">
      <c r="A41" s="15" t="s">
        <v>452</v>
      </c>
      <c r="B41" s="15" t="str">
        <f aca="false">IFERROR(AVERAGEIFS(B_研究方向評分!H:H,B_研究方向評分!A:A,"L1"),"")</f>
        <v/>
      </c>
      <c r="C41" s="15" t="n">
        <f aca="false">IFERROR(AVERAGEIFS(B_研究方向評分!H:H,B_研究方向評分!A:A,"L2"),"")</f>
        <v>4</v>
      </c>
      <c r="D41" s="15" t="str">
        <f aca="false">IFERROR(AVERAGEIFS(B_研究方向評分!H:H,B_研究方向評分!A:A,"L3"),"")</f>
        <v/>
      </c>
      <c r="E41" s="15" t="str">
        <f aca="false">IFERROR(AVERAGEIFS(B_研究方向評分!H:H,B_研究方向評分!A:A,"L4"),"")</f>
        <v/>
      </c>
      <c r="F41" s="15" t="str">
        <f aca="false">IFERROR(AVERAGEIFS(B_研究方向評分!H:H,B_研究方向評分!A:A,"C1"),"")</f>
        <v/>
      </c>
      <c r="G41" s="15" t="str">
        <f aca="false">IFERROR(AVERAGEIFS(B_研究方向評分!H:H,B_研究方向評分!A:A,"C2"),"")</f>
        <v/>
      </c>
      <c r="H41" s="15"/>
    </row>
    <row r="42" customFormat="false" ht="15" hidden="false" customHeight="false" outlineLevel="0" collapsed="false">
      <c r="A42" s="15" t="s">
        <v>453</v>
      </c>
      <c r="B42" s="15" t="str">
        <f aca="false">IFERROR(AVERAGEIFS(B_執行記錄!H:H,B_執行記錄!A:A,"L1"),"")</f>
        <v/>
      </c>
      <c r="C42" s="15" t="n">
        <f aca="false">IFERROR(AVERAGEIFS(B_執行記錄!H:H,B_執行記錄!A:A,"L2"),"")</f>
        <v>21</v>
      </c>
      <c r="D42" s="15" t="str">
        <f aca="false">IFERROR(AVERAGEIFS(B_執行記錄!H:H,B_執行記錄!A:A,"L3"),"")</f>
        <v/>
      </c>
      <c r="E42" s="15" t="str">
        <f aca="false">IFERROR(AVERAGEIFS(B_執行記錄!H:H,B_執行記錄!A:A,"L4"),"")</f>
        <v/>
      </c>
      <c r="F42" s="15" t="str">
        <f aca="false">IFERROR(AVERAGEIFS(B_執行記錄!H:H,B_執行記錄!A:A,"C1"),"")</f>
        <v/>
      </c>
      <c r="G42" s="15" t="str">
        <f aca="false">IFERROR(AVERAGEIFS(B_執行記錄!H:H,B_執行記錄!A:A,"C2"),"")</f>
        <v/>
      </c>
      <c r="H42" s="15"/>
    </row>
    <row r="43" customFormat="false" ht="15" hidden="false" customHeight="false" outlineLevel="0" collapsed="false">
      <c r="A43" s="15" t="s">
        <v>454</v>
      </c>
      <c r="B43" s="15" t="str">
        <f aca="false">IFERROR(AVERAGEIFS(B_執行記錄!I:I,B_執行記錄!A:A,"L1"),"")</f>
        <v/>
      </c>
      <c r="C43" s="15" t="n">
        <f aca="false">IFERROR(AVERAGEIFS(B_執行記錄!I:I,B_執行記錄!A:A,"L2"),"")</f>
        <v>0</v>
      </c>
      <c r="D43" s="15" t="str">
        <f aca="false">IFERROR(AVERAGEIFS(B_執行記錄!I:I,B_執行記錄!A:A,"L3"),"")</f>
        <v/>
      </c>
      <c r="E43" s="15" t="str">
        <f aca="false">IFERROR(AVERAGEIFS(B_執行記錄!I:I,B_執行記錄!A:A,"L4"),"")</f>
        <v/>
      </c>
      <c r="F43" s="15" t="str">
        <f aca="false">IFERROR(AVERAGEIFS(B_執行記錄!I:I,B_執行記錄!A:A,"C1"),"")</f>
        <v/>
      </c>
      <c r="G43" s="15" t="str">
        <f aca="false">IFERROR(AVERAGEIFS(B_執行記錄!I:I,B_執行記錄!A:A,"C2"),"")</f>
        <v/>
      </c>
      <c r="H43" s="15"/>
    </row>
    <row r="44" customFormat="false" ht="15" hidden="false" customHeight="false" outlineLevel="0" collapsed="false">
      <c r="A44" s="15" t="s">
        <v>455</v>
      </c>
      <c r="B44" s="15" t="str">
        <f aca="false">IFERROR(AVERAGEIFS(B_執行記錄!J:J,B_執行記錄!A:A,"L1"),"")</f>
        <v/>
      </c>
      <c r="C44" s="15" t="n">
        <f aca="false">IFERROR(AVERAGEIFS(B_執行記錄!J:J,B_執行記錄!A:A,"L2"),"")</f>
        <v>0</v>
      </c>
      <c r="D44" s="15" t="str">
        <f aca="false">IFERROR(AVERAGEIFS(B_執行記錄!J:J,B_執行記錄!A:A,"L3"),"")</f>
        <v/>
      </c>
      <c r="E44" s="15" t="str">
        <f aca="false">IFERROR(AVERAGEIFS(B_執行記錄!J:J,B_執行記錄!A:A,"L4"),"")</f>
        <v/>
      </c>
      <c r="F44" s="15" t="str">
        <f aca="false">IFERROR(AVERAGEIFS(B_執行記錄!J:J,B_執行記錄!A:A,"C1"),"")</f>
        <v/>
      </c>
      <c r="G44" s="15" t="str">
        <f aca="false">IFERROR(AVERAGEIFS(B_執行記錄!J:J,B_執行記錄!A:A,"C2"),"")</f>
        <v/>
      </c>
      <c r="H44" s="15"/>
    </row>
    <row r="45" customFormat="false" ht="15" hidden="false" customHeight="false" outlineLevel="0" collapsed="false">
      <c r="A45" s="15" t="s">
        <v>456</v>
      </c>
      <c r="B45" s="15" t="str">
        <f aca="false">IFERROR(AVERAGEIFS(B_執行記錄!M:M,B_執行記錄!A:A,"L1"),"")</f>
        <v/>
      </c>
      <c r="C45" s="15" t="n">
        <f aca="false">IFERROR(AVERAGEIFS(B_執行記錄!M:M,B_執行記錄!A:A,"L2"),"")</f>
        <v>14</v>
      </c>
      <c r="D45" s="15" t="str">
        <f aca="false">IFERROR(AVERAGEIFS(B_執行記錄!M:M,B_執行記錄!A:A,"L3"),"")</f>
        <v/>
      </c>
      <c r="E45" s="15" t="str">
        <f aca="false">IFERROR(AVERAGEIFS(B_執行記錄!M:M,B_執行記錄!A:A,"L4"),"")</f>
        <v/>
      </c>
      <c r="F45" s="15" t="str">
        <f aca="false">IFERROR(AVERAGEIFS(B_執行記錄!M:M,B_執行記錄!A:A,"C1"),"")</f>
        <v/>
      </c>
      <c r="G45" s="15" t="str">
        <f aca="false">IFERROR(AVERAGEIFS(B_執行記錄!M:M,B_執行記錄!A:A,"C2"),"")</f>
        <v/>
      </c>
      <c r="H45" s="15"/>
    </row>
    <row r="46" customFormat="false" ht="15" hidden="false" customHeight="false" outlineLevel="0" collapsed="false">
      <c r="A46" s="15" t="s">
        <v>457</v>
      </c>
      <c r="B46" s="15" t="str">
        <f aca="false">IFERROR(B34/$F$34,"")</f>
        <v/>
      </c>
      <c r="C46" s="15" t="str">
        <f aca="false">IFERROR(C34/$F$34,"")</f>
        <v/>
      </c>
      <c r="D46" s="15" t="str">
        <f aca="false">IFERROR(D34/$F$34,"")</f>
        <v/>
      </c>
      <c r="E46" s="15" t="str">
        <f aca="false">IFERROR(E34/$F$34,"")</f>
        <v/>
      </c>
      <c r="F46" s="15" t="str">
        <f aca="false">IFERROR(F34/$F$34,"")</f>
        <v/>
      </c>
      <c r="G46" s="15" t="str">
        <f aca="false">IFERROR(G34/$F$34,"")</f>
        <v/>
      </c>
      <c r="H46" s="15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2026-08-26T11:26:09Z</dcterms:created>
  <dc:creator>openpyxl</dc:creator>
  <dc:description/>
  <dc:language>en-US</dc:language>
  <cp:lastModifiedBy/>
  <dcterms:modified xsi:type="dcterms:W3CDTF">2026-08-26T11:26:13Z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